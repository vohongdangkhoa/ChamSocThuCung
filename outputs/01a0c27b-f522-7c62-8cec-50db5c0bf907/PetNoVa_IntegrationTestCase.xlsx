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10f5e1413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 Page" sheetId="1" r:id="R68091f953e73471c"/>
    <x:sheet xmlns:r="http://schemas.openxmlformats.org/officeDocument/2006/relationships" name="Test Requirements" sheetId="2" r:id="Rdf4086f2e5434862"/>
    <x:sheet xmlns:r="http://schemas.openxmlformats.org/officeDocument/2006/relationships" name="Integration Test Cases" sheetId="3" r:id="Raebbfe001e7846b8"/>
    <x:sheet xmlns:r="http://schemas.openxmlformats.org/officeDocument/2006/relationships" name="Sheet2" sheetId="4" r:id="R42acbad649444e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FFFFF"/>
      <x:name val="Arial"/>
    </x:font>
    <x:font>
      <x:b/>
      <x:sz val="11"/>
      <x:color rgb="FFFFFFFF"/>
      <x:name val="Arial"/>
    </x:font>
    <x:font>
      <x:b/>
      <x:sz val="10"/>
      <x:name val="Arial"/>
    </x:font>
    <x:font>
      <x:sz val="10"/>
      <x:name val="Arial"/>
    </x:font>
    <x:font>
      <x:b/>
      <x:sz val="12"/>
      <x:name val="Arial"/>
    </x:font>
    <x:font>
      <x:b/>
      <x:sz val="11"/>
      <x:color rgb="FF000000"/>
      <x:name val="Arial"/>
    </x:font>
    <x:font>
      <x:b/>
      <x:sz val="10"/>
      <x:name val="Verdana"/>
    </x:font>
    <x:font>
      <x:b/>
      <x:sz val="11"/>
      <x:name val="Arial"/>
    </x:font>
    <x:font>
      <x:sz val="10"/>
      <x:name val="Verdana"/>
    </x:font>
  </x:fonts>
  <x:fills count="9">
    <x:fill>
      <x:patternFill patternType="none"/>
    </x:fill>
    <x:fill>
      <x:patternFill patternType="gray125"/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CCFFCC"/>
      </x:patternFill>
    </x:fill>
    <x:fill>
      <x:patternFill patternType="solid">
        <x:fgColor rgb="FFFFFFFF"/>
      </x:patternFill>
    </x:fill>
    <x:fill>
      <x:patternFill patternType="solid">
        <x:fgColor rgb="FFF7FBFF"/>
      </x:patternFill>
    </x:fill>
    <x:fill>
      <x:patternFill patternType="solid">
        <x:fgColor rgb="FFFFFF00"/>
      </x:patternFill>
    </x:fill>
  </x:fills>
  <x:borders count="11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</x:borders>
  <x:cellStyleXfs count="1">
    <x:xf numFmtId="0" fontId="0" fillId="0" borderId="0"/>
  </x:cellStyleXfs>
  <x:cellXfs count="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horizont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/>
    <x:xf numFmtId="0" fontId="8" fillId="5" borderId="2" xfId="0" applyNumberFormat="1" applyFont="1" applyFill="1" applyBorder="1"/>
    <x:xf numFmtId="0" fontId="8" fillId="5" borderId="2" xfId="0" applyNumberFormat="1" applyFont="1" applyFill="1" applyBorder="1" applyAlignment="1">
      <x:alignment wrapText="1"/>
    </x:xf>
    <x:xf numFmtId="0" fontId="8" fillId="5" borderId="2" xfId="0" applyNumberFormat="1" applyFont="1" applyFill="1" applyBorder="1" applyAlignment="1">
      <x:alignment horizont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7" fillId="8" borderId="2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horizontal="center" wrapText="1"/>
    </x:xf>
    <x:xf numFmtId="0" fontId="7" fillId="8" borderId="2" xfId="0" applyNumberFormat="1" applyFont="1" applyFill="1" applyBorder="1" applyAlignment="1">
      <x:alignment horizontal="center" vertical="center" wrapText="1"/>
    </x:xf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horizontal="center" vertical="top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top" wrapText="1"/>
    </x:xf>
    <x:xf numFmtId="0" fontId="3" fillId="6" borderId="4" xfId="0" applyNumberFormat="1" applyFont="1" applyFill="1" applyBorder="1" applyAlignment="1">
      <x:alignment horizontal="center"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0" fontId="7" fillId="8" borderId="4" xfId="0" applyNumberFormat="1" applyFont="1" applyFill="1" applyBorder="1" applyAlignment="1">
      <x:alignment horizontal="center" vertical="center" wrapText="1"/>
    </x:xf>
    <x:xf numFmtId="0" fontId="9" fillId="8" borderId="4" xfId="0" applyNumberFormat="1" applyFont="1" applyFill="1" applyBorder="1" applyAlignment="1">
      <x:alignment vertical="top" wrapText="1"/>
    </x:xf>
    <x:xf numFmtId="0" fontId="9" fillId="8" borderId="5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horizontal="center" vertical="top" wrapText="1"/>
    </x:xf>
    <x:xf numFmtId="0" fontId="9" fillId="8" borderId="7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horizontal="center" vertical="top" wrapText="1"/>
    </x:xf>
    <x:xf numFmtId="0" fontId="3" fillId="6" borderId="9" xfId="0" applyNumberFormat="1" applyFont="1" applyFill="1" applyBorder="1" applyAlignment="1">
      <x:alignment horizontal="center"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horizontal="center" vertical="center" wrapText="1"/>
    </x:xf>
    <x:xf numFmtId="0" fontId="7" fillId="8" borderId="9" xfId="0" applyNumberFormat="1" applyFont="1" applyFill="1" applyBorder="1" applyAlignment="1">
      <x:alignment horizontal="center" vertical="center" wrapText="1"/>
    </x:xf>
    <x:xf numFmtId="0" fontId="9" fillId="8" borderId="9" xfId="0" applyNumberFormat="1" applyFont="1" applyFill="1" applyBorder="1" applyAlignment="1">
      <x:alignment vertical="top" wrapText="1"/>
    </x:xf>
    <x:xf numFmtId="0" fontId="9" fillId="8" borderId="10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a715c7cb1d48be" /><Relationship Type="http://schemas.openxmlformats.org/officeDocument/2006/relationships/theme" Target="/xl/theme/theme1.xml" Id="R857e0d55fdff4de6" /><Relationship Type="http://schemas.openxmlformats.org/officeDocument/2006/relationships/sharedStrings" Target="/xl/sharedStrings.xml" Id="Rc9cfa97ba15140e7" /><Relationship Type="http://schemas.openxmlformats.org/officeDocument/2006/relationships/worksheet" Target="/xl/worksheets/sheet1.xml" Id="R68091f953e73471c" /><Relationship Type="http://schemas.openxmlformats.org/officeDocument/2006/relationships/worksheet" Target="/xl/worksheets/sheet2.xml" Id="Rdf4086f2e5434862" /><Relationship Type="http://schemas.openxmlformats.org/officeDocument/2006/relationships/worksheet" Target="/xl/worksheets/sheet3.xml" Id="Raebbfe001e7846b8" /><Relationship Type="http://schemas.openxmlformats.org/officeDocument/2006/relationships/worksheet" Target="/xl/worksheets/sheet4.xml" Id="R42acbad649444e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7" hidden="0" customWidth="1"/>
    <x:col min="4" max="4" width="26" hidden="0" customWidth="1"/>
    <x:col min="5" max="5" width="27" hidden="0" customWidth="1"/>
  </x:cols>
  <x:sheetData>
    <x:row r="2" ht="29" customHeight="1">
      <x:c r="B2" s="6" t="str">
        <x:v>INTEGRATION TEST CASES
for PetNoVa Website</x:v>
      </x:c>
      <x:c r="C2" s="6"/>
      <x:c r="D2" s="6"/>
      <x:c r="E2" s="6"/>
    </x:row>
    <x:row r="3" ht="29" customHeight="1">
      <x:c r="B3" s="6"/>
      <x:c r="C3" s="6"/>
      <x:c r="D3" s="6"/>
      <x:c r="E3" s="6"/>
    </x:row>
    <x:row r="4" ht="29" customHeight="1">
      <x:c r="B4" s="6"/>
      <x:c r="C4" s="6"/>
      <x:c r="D4" s="6"/>
      <x:c r="E4" s="6"/>
    </x:row>
    <x:row r="6">
      <x:c r="B6" s="10" t="str">
        <x:v>DOCUMENT HISTORY</x:v>
      </x:c>
      <x:c r="C6" s="10"/>
      <x:c r="D6" s="10"/>
      <x:c r="E6" s="10"/>
    </x:row>
    <x:row r="7">
      <x:c r="B7" s="14" t="str">
        <x:v>Version</x:v>
      </x:c>
      <x:c r="C7" s="14" t="str">
        <x:v>Date</x:v>
      </x:c>
      <x:c r="D7" s="14" t="str">
        <x:v>Author</x:v>
      </x:c>
      <x:c r="E7" s="14" t="str">
        <x:v>Description</x:v>
      </x:c>
    </x:row>
    <x:row r="8" ht="30" customHeight="1">
      <x:c r="B8" s="17" t="str">
        <x:v>v1.0</x:v>
      </x:c>
      <x:c r="C8" s="17" t="str">
        <x:v>25/10/2026</x:v>
      </x:c>
      <x:c r="D8" s="17" t="str">
        <x:v>Nhóm 09</x:v>
      </x:c>
      <x:c r="E8" s="17" t="str">
        <x:v>Thiết kế test case; chưa thực thi</x:v>
      </x:c>
    </x:row>
    <x:row r="11">
      <x:c r="B11" s="10" t="str">
        <x:v>PROJECT INFORMATION</x:v>
      </x:c>
      <x:c r="C11" s="10"/>
      <x:c r="D11" s="10"/>
      <x:c r="E11" s="10"/>
    </x:row>
    <x:row r="12" ht="24" customHeight="1">
      <x:c r="B12" s="20" t="str">
        <x:v>Project</x:v>
      </x:c>
      <x:c r="C12" s="18" t="str">
        <x:v>PetNoVa Website</x:v>
      </x:c>
      <x:c r="D12" s="18"/>
      <x:c r="E12" s="18"/>
    </x:row>
    <x:row r="13" ht="24" customHeight="1">
      <x:c r="B13" s="20" t="str">
        <x:v>Test phase</x:v>
      </x:c>
      <x:c r="C13" s="18" t="str">
        <x:v>Integration test case design</x:v>
      </x:c>
      <x:c r="D13" s="18"/>
      <x:c r="E13" s="18"/>
    </x:row>
    <x:row r="14" ht="29" customHeight="1">
      <x:c r="B14" s="20" t="str">
        <x:v>Team</x:v>
      </x:c>
      <x:c r="C14" s="18" t="str">
        <x:v>Nhóm 09; thành viên/MSSV tự bổ sung</x:v>
      </x:c>
      <x:c r="D14" s="18"/>
      <x:c r="E14" s="18"/>
    </x:row>
    <x:row r="15" ht="24" customHeight="1">
      <x:c r="B15" s="20" t="str">
        <x:v>Execution</x:v>
      </x:c>
      <x:c r="C15" s="18" t="str">
        <x:v>Chưa chạy test; kết quả để Not Executed</x:v>
      </x:c>
      <x:c r="D15" s="18"/>
      <x:c r="E15" s="18"/>
    </x:row>
    <x:row r="17">
      <x:c r="B17" s="10" t="str">
        <x:v>REFERENCE MATERIAL</x:v>
      </x:c>
      <x:c r="C17" s="10"/>
      <x:c r="D17" s="10"/>
      <x:c r="E17" s="10"/>
    </x:row>
    <x:row r="18" ht="24" customHeight="1">
      <x:c r="B18" s="17" t="str">
        <x:v>ST-IntegrationTestCase-Template.xlsx (mẫu trình bày)</x:v>
      </x:c>
      <x:c r="C18" s="17"/>
      <x:c r="D18" s="17"/>
      <x:c r="E18" s="17"/>
    </x:row>
    <x:row r="19" ht="24" customHeight="1">
      <x:c r="B19" s="17" t="str">
        <x:v>Nhom09Full.xlsx / các yêu cầu F1–F12</x:v>
      </x:c>
      <x:c r="C19" s="17"/>
      <x:c r="D19" s="17"/>
      <x:c r="E19" s="17"/>
    </x:row>
    <x:row r="20" ht="24" customHeight="1">
      <x:c r="B20" s="17" t="str">
        <x:v>Mã nguồn frontend/backend PetNoVa trong workspace</x:v>
      </x:c>
      <x:c r="C20" s="17"/>
      <x:c r="D20" s="17"/>
      <x:c r="E20" s="17"/>
    </x:row>
  </x:sheetData>
  <x:mergeCells>
    <x:mergeCell ref="B2:E4"/>
    <x:mergeCell ref="B6:E6"/>
    <x:mergeCell ref="B11:E11"/>
    <x:mergeCell ref="C12:E12"/>
    <x:mergeCell ref="C13:E13"/>
    <x:mergeCell ref="C14:E14"/>
    <x:mergeCell ref="C15:E15"/>
    <x:mergeCell ref="B17:E17"/>
    <x:mergeCell ref="B18:E18"/>
    <x:mergeCell ref="B19:E19"/>
    <x:mergeCell ref="B20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21999979019165" hidden="0" customWidth="1"/>
    <x:col min="2" max="2" width="22.219999313354492" hidden="0" customWidth="1"/>
    <x:col min="3" max="3" width="25.780000686645508" hidden="0" customWidth="1"/>
    <x:col min="4" max="4" width="52.779998779296875" hidden="0" customWidth="1"/>
    <x:col min="5" max="5" width="16.440000534057617" hidden="0" customWidth="1"/>
    <x:col min="6" max="6" width="14.779999732971191" hidden="0" customWidth="1"/>
    <x:col min="7" max="7" width="15.779999732971191" hidden="0" customWidth="1"/>
    <x:col min="8" max="8" width="15.779999732971191" hidden="0" customWidth="1"/>
    <x:col min="9" max="9" width="31.219999313354492" hidden="0" customWidth="1"/>
  </x:cols>
  <x:sheetData>
    <x:row r="1">
      <x:c r="A1" s="21" t="str">
        <x:v>General Information</x:v>
      </x:c>
      <x:c r="B1" s="21"/>
      <x:c r="C1" s="21"/>
      <x:c r="D1" s="21"/>
      <x:c r="E1" s="21"/>
      <x:c r="F1" s="21"/>
      <x:c r="G1" s="21"/>
      <x:c r="H1" s="21"/>
      <x:c r="I1" s="21"/>
    </x:row>
    <x:row r="2" ht="24" customHeight="1">
      <x:c r="A2" s="22" t="str">
        <x:v>Test Designed By</x:v>
      </x:c>
      <x:c r="B2" s="22"/>
      <x:c r="C2" s="17" t="str">
        <x:v>Nhóm 09</x:v>
      </x:c>
      <x:c r="D2" s="17"/>
      <x:c r="E2" s="17"/>
      <x:c r="F2" s="22" t="str">
        <x:v>Test Designed Date</x:v>
      </x:c>
      <x:c r="G2" s="17" t="str">
        <x:v>25-Oct-2026</x:v>
      </x:c>
      <x:c r="H2" s="17"/>
      <x:c r="I2" s="17"/>
    </x:row>
    <x:row r="3" ht="24" customHeight="1">
      <x:c r="A3" s="22" t="str">
        <x:v>Test Reviewed By</x:v>
      </x:c>
      <x:c r="B3" s="22"/>
      <x:c r="C3" s="17" t="str"/>
      <x:c r="D3" s="17"/>
      <x:c r="E3" s="17"/>
      <x:c r="F3" s="22" t="str">
        <x:v>Reviewed Date</x:v>
      </x:c>
      <x:c r="G3" s="17" t="str"/>
      <x:c r="H3" s="17"/>
      <x:c r="I3" s="17"/>
    </x:row>
    <x:row r="4" ht="24" customHeight="1">
      <x:c r="A4" s="22" t="str">
        <x:v>Project</x:v>
      </x:c>
      <x:c r="B4" s="22"/>
      <x:c r="C4" s="17" t="str">
        <x:v>PetNoVa</x:v>
      </x:c>
      <x:c r="D4" s="17"/>
      <x:c r="E4" s="17"/>
      <x:c r="F4" s="22" t="str">
        <x:v>Test Phase</x:v>
      </x:c>
      <x:c r="G4" s="17" t="str">
        <x:v>Integration — chưa thực thi</x:v>
      </x:c>
      <x:c r="H4" s="17"/>
      <x:c r="I4" s="17"/>
    </x:row>
    <x:row r="7">
      <x:c r="A7" s="23" t="str">
        <x:v>List of Test Requirements</x:v>
      </x:c>
      <x:c r="B7" s="23"/>
      <x:c r="C7" s="23"/>
      <x:c r="D7" s="23"/>
      <x:c r="E7" s="23"/>
      <x:c r="F7" s="23"/>
      <x:c r="G7" s="23"/>
      <x:c r="H7" s="23"/>
      <x:c r="I7" s="23"/>
    </x:row>
    <x:row r="8" ht="31" customHeight="1">
      <x:c r="A8" s="29" t="str">
        <x:v>No.</x:v>
      </x:c>
      <x:c r="B8" s="29" t="str">
        <x:v>Test Requirement ID</x:v>
      </x:c>
      <x:c r="C8" s="29" t="str">
        <x:v>Test Requirement Description</x:v>
      </x:c>
      <x:c r="D8" s="29"/>
      <x:c r="E8" s="29" t="str">
        <x:v>Num of Testcases</x:v>
      </x:c>
      <x:c r="F8" s="29" t="str">
        <x:v>Note</x:v>
      </x:c>
      <x:c r="G8" s="29"/>
    </x:row>
    <x:row r="9" ht="36" customHeight="1">
      <x:c r="A9" s="35" t="n">
        <x:v>1</x:v>
      </x:c>
      <x:c r="B9" s="35" t="str">
        <x:v>ITR01</x:v>
      </x:c>
      <x:c r="C9" s="34" t="str">
        <x:v>Firebase Authentication ↔ hồ sơ SQL: UID, email, vai trò và trạng thái tài khoản.</x:v>
      </x:c>
      <x:c r="D9" s="34"/>
      <x:c r="E9" s="35" t="n">
        <x:f>COUNTIF('Integration Test Cases'!$B$3:$B$200,"ITR01")</x:f>
        <x:v>2</x:v>
      </x:c>
      <x:c r="F9" s="34" t="str">
        <x:v>F1.1, F1.3, F1.4; UserAccountsController.cs, xac-thuc.jsx</x:v>
      </x:c>
      <x:c r="G9" s="34"/>
    </x:row>
    <x:row r="10" ht="36" customHeight="1">
      <x:c r="A10" s="41" t="n">
        <x:v>2</x:v>
      </x:c>
      <x:c r="B10" s="41" t="str">
        <x:v>ITR02</x:v>
      </x:c>
      <x:c r="C10" s="40" t="str">
        <x:v>Đặt lại mật khẩu: số điện thoại SQL ↔ OTP email ↔ mật khẩu Firebase.</x:v>
      </x:c>
      <x:c r="D10" s="40"/>
      <x:c r="E10" s="41" t="n">
        <x:f>COUNTIF('Integration Test Cases'!$B$3:$B$200,"ITR02")</x:f>
        <x:v>2</x:v>
      </x:c>
      <x:c r="F10" s="40" t="str">
        <x:v>F1.5–F1.7; PasswordResetController.cs, PasswordResetService.cs</x:v>
      </x:c>
      <x:c r="G10" s="40"/>
    </x:row>
    <x:row r="11" ht="36" customHeight="1">
      <x:c r="A11" s="35" t="n">
        <x:v>3</x:v>
      </x:c>
      <x:c r="B11" s="35" t="str">
        <x:v>ITR03</x:v>
      </x:c>
      <x:c r="C11" s="34" t="str">
        <x:v>Hồ sơ thú cưng ↔ đặt lịch: quyền sở hữu và điều kiện lưu trữ thú cưng.</x:v>
      </x:c>
      <x:c r="D11" s="34"/>
      <x:c r="E11" s="35" t="n">
        <x:f>COUNTIF('Integration Test Cases'!$B$3:$B$200,"ITR03")</x:f>
        <x:v>2</x:v>
      </x:c>
      <x:c r="F11" s="34" t="str">
        <x:v>F3.2, F3.5, F4.5; ThuCungController.cs, LichHenController.cs</x:v>
      </x:c>
      <x:c r="G11" s="34"/>
    </x:row>
    <x:row r="12" ht="36" customHeight="1">
      <x:c r="A12" s="41" t="n">
        <x:v>4</x:v>
      </x:c>
      <x:c r="B12" s="41" t="str">
        <x:v>ITR04</x:v>
      </x:c>
      <x:c r="C12" s="40" t="str">
        <x:v>Ảnh thú cưng: tải Cloudinary ↔ URL/publicId trong hồ sơ SQL.</x:v>
      </x:c>
      <x:c r="D12" s="40"/>
      <x:c r="E12" s="41" t="n">
        <x:f>COUNTIF('Integration Test Cases'!$B$3:$B$200,"ITR04")</x:f>
        <x:v>2</x:v>
      </x:c>
      <x:c r="F12" s="40" t="str">
        <x:v>F3.4; MediaController.cs</x:v>
      </x:c>
      <x:c r="G12" s="40"/>
    </x:row>
    <x:row r="13" ht="36" customHeight="1">
      <x:c r="A13" s="35" t="n">
        <x:v>5</x:v>
      </x:c>
      <x:c r="B13" s="35" t="str">
        <x:v>ITR05</x:v>
      </x:c>
      <x:c r="C13" s="34" t="str">
        <x:v>Danh mục/gói dịch vụ quản trị ↔ danh sách đặt lịch và kiểm tra gói đang hoạt động.</x:v>
      </x:c>
      <x:c r="D13" s="34"/>
      <x:c r="E13" s="35" t="n">
        <x:f>COUNTIF('Integration Test Cases'!$B$3:$B$200,"ITR05")</x:f>
        <x:v>2</x:v>
      </x:c>
      <x:c r="F13" s="34" t="str">
        <x:v>F4.3, F11.10–F11.12; DanhMucController.cs, ServicePackagesController.cs</x:v>
      </x:c>
      <x:c r="G13" s="34"/>
    </x:row>
    <x:row r="14" ht="36" customHeight="1">
      <x:c r="A14" s="41" t="n">
        <x:v>6</x:v>
      </x:c>
      <x:c r="B14" s="41" t="str">
        <x:v>ITR06</x:v>
      </x:c>
      <x:c r="C14" s="40" t="str">
        <x:v>Tạo lịch ↔ chi tiết dịch vụ ↔ khoản thanh toán ↔ thông báo khách hàng.</x:v>
      </x:c>
      <x:c r="D14" s="40"/>
      <x:c r="E14" s="41" t="n">
        <x:f>COUNTIF('Integration Test Cases'!$B$3:$B$200,"ITR06")</x:f>
        <x:v>2</x:v>
      </x:c>
      <x:c r="F14" s="40" t="str">
        <x:v>F4.5–F4.7, F7; LichHenController.cs</x:v>
      </x:c>
      <x:c r="G14" s="40"/>
    </x:row>
    <x:row r="15" ht="36" customHeight="1">
      <x:c r="A15" s="35" t="n">
        <x:v>7</x:v>
      </x:c>
      <x:c r="B15" s="35" t="str">
        <x:v>ITR07</x:v>
      </x:c>
      <x:c r="C15" s="34" t="str">
        <x:v>Dịch vụ/thú cưng/nhân sự ↔ kiểm tra chỗ trống và xung đột lịch.</x:v>
      </x:c>
      <x:c r="D15" s="34"/>
      <x:c r="E15" s="35" t="n">
        <x:f>COUNTIF('Integration Test Cases'!$B$3:$B$200,"ITR07")</x:f>
        <x:v>2</x:v>
      </x:c>
      <x:c r="F15" s="34" t="str">
        <x:v>F4.4, F4.7; LichHenController.cs</x:v>
      </x:c>
      <x:c r="G15" s="34"/>
    </x:row>
    <x:row r="16" ht="36" customHeight="1">
      <x:c r="A16" s="41" t="n">
        <x:v>8</x:v>
      </x:c>
      <x:c r="B16" s="41" t="str">
        <x:v>ITR08</x:v>
      </x:c>
      <x:c r="C16" s="40" t="str">
        <x:v>Đổi lịch ↔ năng lực khung giờ ↔ lịch hiển thị/thông báo.</x:v>
      </x:c>
      <x:c r="D16" s="40"/>
      <x:c r="E16" s="41" t="n">
        <x:f>COUNTIF('Integration Test Cases'!$B$3:$B$200,"ITR08")</x:f>
        <x:v>2</x:v>
      </x:c>
      <x:c r="F16" s="40" t="str">
        <x:v>F4.8, F7; LichHenController.cs</x:v>
      </x:c>
      <x:c r="G16" s="40"/>
    </x:row>
    <x:row r="17" ht="36" customHeight="1">
      <x:c r="A17" s="35" t="n">
        <x:v>9</x:v>
      </x:c>
      <x:c r="B17" s="35" t="str">
        <x:v>ITR09</x:v>
      </x:c>
      <x:c r="C17" s="34" t="str">
        <x:v>Hủy lịch ↔ trạng thái thanh toán ↔ giải phóng chỗ/thông báo.</x:v>
      </x:c>
      <x:c r="D17" s="34"/>
      <x:c r="E17" s="35" t="n">
        <x:f>COUNTIF('Integration Test Cases'!$B$3:$B$200,"ITR09")</x:f>
        <x:v>2</x:v>
      </x:c>
      <x:c r="F17" s="34" t="str">
        <x:v>F4.9, F5.1, F7; LichHenController.cs</x:v>
      </x:c>
      <x:c r="G17" s="34"/>
    </x:row>
    <x:row r="18" ht="36" customHeight="1">
      <x:c r="A18" s="41" t="n">
        <x:v>10</x:v>
      </x:c>
      <x:c r="B18" s="41" t="str">
        <x:v>ITR10</x:v>
      </x:c>
      <x:c r="C18" s="40" t="str">
        <x:v>PayOS ↔ thanh toán PetNoVa: tạo link, đồng bộ/webhook và thông báo.</x:v>
      </x:c>
      <x:c r="D18" s="40"/>
      <x:c r="E18" s="41" t="n">
        <x:f>COUNTIF('Integration Test Cases'!$B$3:$B$200,"ITR10")</x:f>
        <x:v>2</x:v>
      </x:c>
      <x:c r="F18" s="40" t="str">
        <x:v>F4.6, F5.2; PaymentsController.cs</x:v>
      </x:c>
      <x:c r="G18" s="40"/>
    </x:row>
    <x:row r="19" ht="36" customHeight="1">
      <x:c r="A19" s="35" t="n">
        <x:v>11</x:v>
      </x:c>
      <x:c r="B19" s="35" t="str">
        <x:v>ITR11</x:v>
      </x:c>
      <x:c r="C19" s="34" t="str">
        <x:v>Thanh toán thất bại ↔ tạo giao dịch thanh toán lại cho cùng lịch.</x:v>
      </x:c>
      <x:c r="D19" s="34"/>
      <x:c r="E19" s="35" t="n">
        <x:f>COUNTIF('Integration Test Cases'!$B$3:$B$200,"ITR11")</x:f>
        <x:v>2</x:v>
      </x:c>
      <x:c r="F19" s="34" t="str">
        <x:v>F5.3; PaymentsController.cs</x:v>
      </x:c>
      <x:c r="G19" s="34"/>
    </x:row>
    <x:row r="20" ht="36" customHeight="1">
      <x:c r="A20" s="41" t="n">
        <x:v>12</x:v>
      </x:c>
      <x:c r="B20" s="41" t="str">
        <x:v>ITR12</x:v>
      </x:c>
      <x:c r="C20" s="40" t="str">
        <x:v>Phân công nhân sự ↔ lịch công việc của bác sĩ/nhân viên và thông báo khách.</x:v>
      </x:c>
      <x:c r="D20" s="40"/>
      <x:c r="E20" s="41" t="n">
        <x:f>COUNTIF('Integration Test Cases'!$B$3:$B$200,"ITR12")</x:f>
        <x:v>2</x:v>
      </x:c>
      <x:c r="F20" s="40" t="str">
        <x:v>F9.3, F7; LichHenController.cs, StaffsController.cs</x:v>
      </x:c>
      <x:c r="G20" s="40"/>
    </x:row>
    <x:row r="21" ht="36" customHeight="1">
      <x:c r="A21" s="35" t="n">
        <x:v>13</x:v>
      </x:c>
      <x:c r="B21" s="35" t="str">
        <x:v>ITR13</x:v>
      </x:c>
      <x:c r="C21" s="34" t="str">
        <x:v>Trạng thái lịch ↔ thanh toán tiền mặt ↔ điều kiện hoàn thành và thông báo.</x:v>
      </x:c>
      <x:c r="D21" s="34"/>
      <x:c r="E21" s="35" t="n">
        <x:f>COUNTIF('Integration Test Cases'!$B$3:$B$200,"ITR13")</x:f>
        <x:v>2</x:v>
      </x:c>
      <x:c r="F21" s="34" t="str">
        <x:v>F9.5–F9.7, F7; LichHenController.cs, PaymentsController.cs</x:v>
      </x:c>
      <x:c r="G21" s="34"/>
    </x:row>
    <x:row r="22" ht="36" customHeight="1">
      <x:c r="A22" s="41" t="n">
        <x:v>14</x:v>
      </x:c>
      <x:c r="B22" s="41" t="str">
        <x:v>ITR14</x:v>
      </x:c>
      <x:c r="C22" s="40" t="str">
        <x:v>Hồ sơ khám ↔ cân nặng thú cưng ↔ lịch sử sức khỏe chủ nuôi.</x:v>
      </x:c>
      <x:c r="D22" s="40"/>
      <x:c r="E22" s="41" t="n">
        <x:f>COUNTIF('Integration Test Cases'!$B$3:$B$200,"ITR14")</x:f>
        <x:v>2</x:v>
      </x:c>
      <x:c r="F22" s="40" t="str">
        <x:v>F6, F10.4; HoSoSucKhoeController.cs</x:v>
      </x:c>
      <x:c r="G22" s="40"/>
    </x:row>
    <x:row r="23" ht="36" customHeight="1">
      <x:c r="A23" s="35" t="n">
        <x:v>15</x:v>
      </x:c>
      <x:c r="B23" s="35" t="str">
        <x:v>ITR15</x:v>
      </x:c>
      <x:c r="C23" s="34" t="str">
        <x:v>Lịch tiêm ↔ tác vụ nhắc lịch ↔ thông báo đúng chủ thú cưng.</x:v>
      </x:c>
      <x:c r="D23" s="34"/>
      <x:c r="E23" s="35" t="n">
        <x:f>COUNTIF('Integration Test Cases'!$B$3:$B$200,"ITR15")</x:f>
        <x:v>2</x:v>
      </x:c>
      <x:c r="F23" s="34" t="str">
        <x:v>F7, F10.6; HoSoSucKhoeController.cs, NhacLichTuDong.cs</x:v>
      </x:c>
      <x:c r="G23" s="34"/>
    </x:row>
    <x:row r="24" ht="36" customHeight="1">
      <x:c r="A24" s="41" t="n">
        <x:v>16</x:v>
      </x:c>
      <x:c r="B24" s="41" t="str">
        <x:v>ITR16</x:v>
      </x:c>
      <x:c r="C24" s="40" t="str">
        <x:v>Trạng thái nhân sự ↔ tài khoản SQL ↔ khả năng đăng nhập/phân công.</x:v>
      </x:c>
      <x:c r="D24" s="40"/>
      <x:c r="E24" s="41" t="n">
        <x:f>COUNTIF('Integration Test Cases'!$B$3:$B$200,"ITR16")</x:f>
        <x:v>2</x:v>
      </x:c>
      <x:c r="F24" s="40" t="str">
        <x:v>F11.7–F11.8, F9.3; StaffsController.cs, LichHenController.cs</x:v>
      </x:c>
      <x:c r="G24" s="40"/>
    </x:row>
    <x:row r="25" ht="36" customHeight="1">
      <x:c r="A25" s="35" t="n">
        <x:v>17</x:v>
      </x:c>
      <x:c r="B25" s="35" t="str">
        <x:v>ITR17</x:v>
      </x:c>
      <x:c r="C25" s="34" t="str">
        <x:v>Vai trò/quyền sở hữu ↔ API lịch, thanh toán và hồ sơ sức khỏe.</x:v>
      </x:c>
      <x:c r="D25" s="34"/>
      <x:c r="E25" s="35" t="n">
        <x:f>COUNTIF('Integration Test Cases'!$B$3:$B$200,"ITR17")</x:f>
        <x:v>2</x:v>
      </x:c>
      <x:c r="F25" s="34" t="str">
        <x:v>F11.3–F11.4, F12.1–F12.2; PhienNguoiDung.cs và controllers</x:v>
      </x:c>
      <x:c r="G25" s="34"/>
    </x:row>
    <x:row r="26" ht="36" customHeight="1">
      <x:c r="A26" s="41" t="n">
        <x:v>18</x:v>
      </x:c>
      <x:c r="B26" s="41" t="str">
        <x:v>ITR18</x:v>
      </x:c>
      <x:c r="C26" s="40" t="str">
        <x:v>Đặt lịch/thanh toán/hoàn tiền ↔ số liệu báo cáo quản trị.</x:v>
      </x:c>
      <x:c r="D26" s="40"/>
      <x:c r="E26" s="41" t="n">
        <x:f>COUNTIF('Integration Test Cases'!$B$3:$B$200,"ITR18")</x:f>
        <x:v>2</x:v>
      </x:c>
      <x:c r="F26" s="40" t="str">
        <x:v>F9.9, F11.14; PaymentsController.cs, BaoCaoController.cs</x:v>
      </x:c>
      <x:c r="G26" s="40"/>
    </x:row>
    <x:row r="28">
      <x:c r="C28" s="13" t="str">
        <x:v>Tổng số test case</x:v>
      </x:c>
      <x:c r="D28" s="13"/>
      <x:c r="E28" s="13" t="n">
        <x:f>SUM(E9:E26)</x:f>
        <x:v>36</x:v>
      </x:c>
      <x:c r="F28" s="13"/>
      <x:c r="G28" s="13"/>
    </x:row>
  </x:sheetData>
  <x:mergeCells>
    <x:mergeCell ref="A1:I1"/>
    <x:mergeCell ref="A2:B2"/>
    <x:mergeCell ref="C2:E2"/>
    <x:mergeCell ref="G2:I2"/>
    <x:mergeCell ref="A3:B3"/>
    <x:mergeCell ref="C3:E3"/>
    <x:mergeCell ref="G3:I3"/>
    <x:mergeCell ref="A4:B4"/>
    <x:mergeCell ref="C4:E4"/>
    <x:mergeCell ref="G4:I4"/>
    <x:mergeCell ref="A7:I7"/>
    <x:mergeCell ref="C8:D8"/>
    <x:mergeCell ref="F8:G8"/>
    <x:mergeCell ref="C9:D9"/>
    <x:mergeCell ref="F9:G9"/>
    <x:mergeCell ref="C10:D10"/>
    <x:mergeCell ref="F10:G10"/>
    <x:mergeCell ref="C11:D11"/>
    <x:mergeCell ref="F11:G11"/>
    <x:mergeCell ref="C12:D12"/>
    <x:mergeCell ref="F12:G12"/>
    <x:mergeCell ref="C13:D13"/>
    <x:mergeCell ref="F13:G13"/>
    <x:mergeCell ref="C14:D14"/>
    <x:mergeCell ref="F14:G14"/>
    <x:mergeCell ref="C15:D15"/>
    <x:mergeCell ref="F15:G15"/>
    <x:mergeCell ref="C16:D16"/>
    <x:mergeCell ref="F16:G16"/>
    <x:mergeCell ref="C17:D17"/>
    <x:mergeCell ref="F17:G17"/>
    <x:mergeCell ref="C18:D18"/>
    <x:mergeCell ref="F18:G18"/>
    <x:mergeCell ref="C19:D19"/>
    <x:mergeCell ref="F19:G19"/>
    <x:mergeCell ref="C20:D20"/>
    <x:mergeCell ref="F20:G20"/>
    <x:mergeCell ref="C21:D21"/>
    <x:mergeCell ref="F21:G21"/>
    <x:mergeCell ref="C22:D22"/>
    <x:mergeCell ref="F22:G22"/>
    <x:mergeCell ref="C23:D23"/>
    <x:mergeCell ref="F23:G23"/>
    <x:mergeCell ref="C24:D24"/>
    <x:mergeCell ref="F24:G24"/>
    <x:mergeCell ref="C25:D25"/>
    <x:mergeCell ref="F25:G25"/>
    <x:mergeCell ref="C26:D26"/>
    <x:mergeCell ref="F26:G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550000190734863" hidden="0" customWidth="1"/>
    <x:col min="2" max="2" width="16.549999237060547" hidden="0" customWidth="1"/>
    <x:col min="3" max="3" width="17.440000534057617" hidden="0" customWidth="1"/>
    <x:col min="4" max="4" width="31.780000686645508" hidden="0" customWidth="1"/>
    <x:col min="5" max="5" width="22.780000686645508" hidden="0" customWidth="1"/>
    <x:col min="6" max="6" width="5.78000020980835" hidden="0" customWidth="1"/>
    <x:col min="7" max="7" width="36.220001220703125" hidden="0" customWidth="1"/>
    <x:col min="8" max="8" width="23.440000534057617" hidden="0" customWidth="1"/>
    <x:col min="9" max="9" width="43.220001220703125" hidden="0" customWidth="1"/>
    <x:col min="10" max="10" width="45.54999923706055" hidden="0" customWidth="1"/>
    <x:col min="11" max="11" width="15.550000190734863" hidden="0" customWidth="1"/>
    <x:col min="12" max="12" width="15.779999732971191" hidden="0" customWidth="1"/>
    <x:col min="13" max="13" width="19.329999923706055" hidden="0" customWidth="1"/>
  </x:cols>
  <x:sheetData>
    <x:row r="1">
      <x:c r="K1" s="45" t="str">
        <x:v>Execute Testing - Version1.0</x:v>
      </x:c>
      <x:c r="L1" s="45"/>
      <x:c r="M1" s="45"/>
    </x:row>
    <x:row r="2" ht="33" customHeight="1">
      <x:c r="A2" s="50" t="str">
        <x:v>No.</x:v>
      </x:c>
      <x:c r="B2" s="50" t="str">
        <x:v>Test Requirement ID</x:v>
      </x:c>
      <x:c r="C2" s="50" t="str">
        <x:v>Test Case ID</x:v>
      </x:c>
      <x:c r="D2" s="50" t="str">
        <x:v>Test Objective</x:v>
      </x:c>
      <x:c r="E2" s="50" t="str">
        <x:v>Pre-conditions</x:v>
      </x:c>
      <x:c r="F2" s="50" t="str">
        <x:v>Step #</x:v>
      </x:c>
      <x:c r="G2" s="50" t="str">
        <x:v>Step Action</x:v>
      </x:c>
      <x:c r="H2" s="50" t="str">
        <x:v>Test Data</x:v>
      </x:c>
      <x:c r="I2" s="50" t="str">
        <x:v>Expected Result</x:v>
      </x:c>
      <x:c r="J2" s="50" t="str">
        <x:v>Notes</x:v>
      </x:c>
      <x:c r="K2" s="54" t="str">
        <x:v>Result</x:v>
      </x:c>
      <x:c r="L2" s="54" t="str">
        <x:v>By tester</x:v>
      </x:c>
      <x:c r="M2" s="54" t="str">
        <x:v>Note</x:v>
      </x:c>
    </x:row>
    <x:row r="3" ht="40" customHeight="1">
      <x:c r="A3" s="65" t="n">
        <x:v>1</x:v>
      </x:c>
      <x:c r="B3" s="66" t="str">
        <x:v>ITR01</x:v>
      </x:c>
      <x:c r="C3" s="66" t="str">
        <x:v>ITR01_01</x:v>
      </x:c>
      <x:c r="D3" s="67" t="str">
        <x:v>Đăng ký Firebase tạo đúng một hồ sơ CUSTOMER trong SQL</x:v>
      </x:c>
      <x:c r="E3" s="67" t="str">
        <x:v>Email và số điện thoại thử nghiệm chưa có tài khoản; Firebase và API sẵn sàng.</x:v>
      </x:c>
      <x:c r="F3" s="68" t="n">
        <x:v>1</x:v>
      </x:c>
      <x:c r="G3" s="67" t="str">
        <x:v>1. Đăng ký trên web bằng email/số điện thoại thử nghiệm.</x:v>
      </x:c>
      <x:c r="H3" s="67" t="str">
        <x:v>Email A, điện thoại A</x:v>
      </x:c>
      <x:c r="I3" s="67" t="str">
        <x:v>Firebase tạo danh tính và web nhận phiên đăng nhập.</x:v>
      </x:c>
      <x:c r="J3" s="67" t="str">
        <x:v>Liên kết: F1.1, F1.3, F1.4; UserAccountsController.cs, xac-thuc.jsx. Không nhập thông tin cá nhân thật; dùng dữ liệu thử nghiệm.</x:v>
      </x:c>
      <x:c r="K3" s="69" t="str">
        <x:v>Not Executed</x:v>
      </x:c>
      <x:c r="L3" s="70"/>
      <x:c r="M3" s="71"/>
    </x:row>
    <x:row r="4" ht="40" customHeight="1">
      <x:c r="A4" s="72"/>
      <x:c r="B4" s="60"/>
      <x:c r="C4" s="60"/>
      <x:c r="D4" s="34"/>
      <x:c r="E4" s="34"/>
      <x:c r="F4" s="61" t="n">
        <x:v>2</x:v>
      </x:c>
      <x:c r="G4" s="34" t="str">
        <x:v>2. Tra hồ sơ người dùng bằng tài khoản vừa tạo.</x:v>
      </x:c>
      <x:c r="H4" s="34" t="str">
        <x:v>Firebase UID/email A</x:v>
      </x:c>
      <x:c r="I4" s="34" t="str">
        <x:v>SQL có đúng một UserAccount gắn UID/email A, role CUSTOMER, status ACTIVE.</x:v>
      </x:c>
      <x:c r="J4" s="34"/>
      <x:c r="K4" s="64"/>
      <x:c r="L4" s="58"/>
      <x:c r="M4" s="73"/>
    </x:row>
    <x:row r="5" ht="40" customHeight="1">
      <x:c r="A5" s="74"/>
      <x:c r="B5" s="75"/>
      <x:c r="C5" s="75"/>
      <x:c r="D5" s="76"/>
      <x:c r="E5" s="76"/>
      <x:c r="F5" s="77" t="n">
        <x:v>3</x:v>
      </x:c>
      <x:c r="G5" s="76" t="str">
        <x:v>3. Đăng xuất rồi đăng nhập lại.</x:v>
      </x:c>
      <x:c r="H5" s="76" t="str">
        <x:v>Email A và mật khẩu đã tạo</x:v>
      </x:c>
      <x:c r="I5" s="76" t="str">
        <x:v>Web ghép lại đúng hồ sơ SQL, vào cổng khách hàng.</x:v>
      </x:c>
      <x:c r="J5" s="76"/>
      <x:c r="K5" s="78"/>
      <x:c r="L5" s="79"/>
      <x:c r="M5" s="80"/>
    </x:row>
    <x:row r="6" ht="40" customHeight="1">
      <x:c r="A6" s="65" t="n">
        <x:v>2</x:v>
      </x:c>
      <x:c r="B6" s="66" t="str">
        <x:v>ITR01</x:v>
      </x:c>
      <x:c r="C6" s="66" t="str">
        <x:v>ITR01_02</x:v>
      </x:c>
      <x:c r="D6" s="67" t="str">
        <x:v>Tài khoản SQL bị khóa không vào được cổng dù token Firebase còn hợp lệ</x:v>
      </x:c>
      <x:c r="E6" s="67" t="str">
        <x:v>Có tài khoản thử nghiệm ACTIVE đã đăng nhập; ADMIN có quyền đổi trạng thái.</x:v>
      </x:c>
      <x:c r="F6" s="68" t="n">
        <x:v>1</x:v>
      </x:c>
      <x:c r="G6" s="67" t="str">
        <x:v>1. ADMIN đổi UserAccount sang INACTIVE.</x:v>
      </x:c>
      <x:c r="H6" s="67" t="str">
        <x:v>UserAccount A</x:v>
      </x:c>
      <x:c r="I6" s="67" t="str">
        <x:v>SQL lưu status INACTIVE.</x:v>
      </x:c>
      <x:c r="J6" s="67" t="str">
        <x:v>Liên kết: F1.1, F1.3, F1.4; UserAccountsController.cs, xac-thuc.jsx. Kiểm tra cả phiên đang mở và lần đăng nhập lại.</x:v>
      </x:c>
      <x:c r="K6" s="69" t="str">
        <x:v>Not Executed</x:v>
      </x:c>
      <x:c r="L6" s="70"/>
      <x:c r="M6" s="71"/>
    </x:row>
    <x:row r="7" ht="40" customHeight="1">
      <x:c r="A7" s="72"/>
      <x:c r="B7" s="60"/>
      <x:c r="C7" s="60"/>
      <x:c r="D7" s="34"/>
      <x:c r="E7" s="34"/>
      <x:c r="F7" s="61" t="n">
        <x:v>2</x:v>
      </x:c>
      <x:c r="G7" s="34" t="str">
        <x:v>2. Tải lại cổng khách hàng bằng phiên Firebase A.</x:v>
      </x:c>
      <x:c r="H7" s="34" t="str">
        <x:v>Token Firebase A còn hợp lệ</x:v>
      </x:c>
      <x:c r="I7" s="34" t="str">
        <x:v>Web/API từ chối sử dụng hồ sơ đang INACTIVE.</x:v>
      </x:c>
      <x:c r="J7" s="34"/>
      <x:c r="K7" s="64"/>
      <x:c r="L7" s="58"/>
      <x:c r="M7" s="73"/>
    </x:row>
    <x:row r="8" ht="40" customHeight="1">
      <x:c r="A8" s="74"/>
      <x:c r="B8" s="75"/>
      <x:c r="C8" s="75"/>
      <x:c r="D8" s="76"/>
      <x:c r="E8" s="76"/>
      <x:c r="F8" s="77" t="n">
        <x:v>3</x:v>
      </x:c>
      <x:c r="G8" s="76" t="str">
        <x:v>3. Đăng xuất và đăng nhập lại tài khoản A.</x:v>
      </x:c>
      <x:c r="H8" s="76" t="str">
        <x:v>Email A</x:v>
      </x:c>
      <x:c r="I8" s="76" t="str">
        <x:v>Không truy cập được chức năng của cổng khách hàng.</x:v>
      </x:c>
      <x:c r="J8" s="76"/>
      <x:c r="K8" s="78"/>
      <x:c r="L8" s="79"/>
      <x:c r="M8" s="80"/>
    </x:row>
    <x:row r="9" ht="40" customHeight="1">
      <x:c r="A9" s="65" t="n">
        <x:v>3</x:v>
      </x:c>
      <x:c r="B9" s="66" t="str">
        <x:v>ITR02</x:v>
      </x:c>
      <x:c r="C9" s="66" t="str">
        <x:v>ITR02_01</x:v>
      </x:c>
      <x:c r="D9" s="67" t="str">
        <x:v>Số điện thoại đã liên kết nhận OTP email và đổi mật khẩu Firebase</x:v>
      </x:c>
      <x:c r="E9" s="67" t="str">
        <x:v>Có tài khoản thử nghiệm với điện thoại và email truy cập được; dịch vụ email/Firebase cấu hình.</x:v>
      </x:c>
      <x:c r="F9" s="68" t="n">
        <x:v>1</x:v>
      </x:c>
      <x:c r="G9" s="67" t="str">
        <x:v>1. Yêu cầu đặt lại mật khẩu bằng số điện thoại.</x:v>
      </x:c>
      <x:c r="H9" s="67" t="str">
        <x:v>Điện thoại A</x:v>
      </x:c>
      <x:c r="I9" s="67" t="str">
        <x:v>API trả challengeId và email đã che; OTP tới email liên kết.</x:v>
      </x:c>
      <x:c r="J9" s="67" t="str">
        <x:v>Liên kết: F1.5–F1.7; PasswordResetController.cs, PasswordResetService.cs. Thực hiện ở môi trường thử nghiệm; không ghi OTP hay mật khẩu thật vào file.</x:v>
      </x:c>
      <x:c r="K9" s="69" t="str">
        <x:v>Not Executed</x:v>
      </x:c>
      <x:c r="L9" s="70"/>
      <x:c r="M9" s="71"/>
    </x:row>
    <x:row r="10" ht="40" customHeight="1">
      <x:c r="A10" s="72"/>
      <x:c r="B10" s="60"/>
      <x:c r="C10" s="60"/>
      <x:c r="D10" s="34"/>
      <x:c r="E10" s="34"/>
      <x:c r="F10" s="61" t="n">
        <x:v>2</x:v>
      </x:c>
      <x:c r="G10" s="34" t="str">
        <x:v>2. Xác minh OTP hợp lệ.</x:v>
      </x:c>
      <x:c r="H10" s="34" t="str">
        <x:v>challengeId, OTP từ email A</x:v>
      </x:c>
      <x:c r="I10" s="34" t="str">
        <x:v>API trả reset token dùng một lần.</x:v>
      </x:c>
      <x:c r="J10" s="34"/>
      <x:c r="K10" s="64"/>
      <x:c r="L10" s="58"/>
      <x:c r="M10" s="73"/>
    </x:row>
    <x:row r="11" ht="40" customHeight="1">
      <x:c r="A11" s="74"/>
      <x:c r="B11" s="75"/>
      <x:c r="C11" s="75"/>
      <x:c r="D11" s="76"/>
      <x:c r="E11" s="76"/>
      <x:c r="F11" s="77" t="n">
        <x:v>3</x:v>
      </x:c>
      <x:c r="G11" s="76" t="str">
        <x:v>3. Hoàn tất với mật khẩu mới rồi đăng nhập.</x:v>
      </x:c>
      <x:c r="H11" s="76" t="str">
        <x:v>reset token, mật khẩu mới</x:v>
      </x:c>
      <x:c r="I11" s="76" t="str">
        <x:v>Firebase chấp nhận mật khẩu mới; mật khẩu cũ không còn dùng được.</x:v>
      </x:c>
      <x:c r="J11" s="76"/>
      <x:c r="K11" s="78"/>
      <x:c r="L11" s="79"/>
      <x:c r="M11" s="80"/>
    </x:row>
    <x:row r="12" ht="32" customHeight="1">
      <x:c r="A12" s="65" t="n">
        <x:v>4</x:v>
      </x:c>
      <x:c r="B12" s="66" t="str">
        <x:v>ITR02</x:v>
      </x:c>
      <x:c r="C12" s="66" t="str">
        <x:v>ITR02_02</x:v>
      </x:c>
      <x:c r="D12" s="67" t="str">
        <x:v>OTP sai hoặc token dùng lại không cập nhật mật khẩu Firebase</x:v>
      </x:c>
      <x:c r="E12" s="67" t="str">
        <x:v>Có challenge thử nghiệm còn hạn.</x:v>
      </x:c>
      <x:c r="F12" s="68" t="n">
        <x:v>1</x:v>
      </x:c>
      <x:c r="G12" s="67" t="str">
        <x:v>1. Gửi OTP sai với challengeId.</x:v>
      </x:c>
      <x:c r="H12" s="67" t="str">
        <x:v>OTP sai</x:v>
      </x:c>
      <x:c r="I12" s="67" t="str">
        <x:v>API không cấp reset token.</x:v>
      </x:c>
      <x:c r="J12" s="67" t="str">
        <x:v>Liên kết: F1.5–F1.7; PasswordResetController.cs, PasswordResetService.cs. Không suy diễn gửi email thành công nếu hạ tầng chưa cấu hình.</x:v>
      </x:c>
      <x:c r="K12" s="69" t="str">
        <x:v>Not Executed</x:v>
      </x:c>
      <x:c r="L12" s="70"/>
      <x:c r="M12" s="71"/>
    </x:row>
    <x:row r="13" ht="40" customHeight="1">
      <x:c r="A13" s="72"/>
      <x:c r="B13" s="60"/>
      <x:c r="C13" s="60"/>
      <x:c r="D13" s="34"/>
      <x:c r="E13" s="34"/>
      <x:c r="F13" s="61" t="n">
        <x:v>2</x:v>
      </x:c>
      <x:c r="G13" s="34" t="str">
        <x:v>2. Xác minh bằng OTP đúng và hoàn tất một lần.</x:v>
      </x:c>
      <x:c r="H13" s="34" t="str">
        <x:v>OTP đúng, mật khẩu mới</x:v>
      </x:c>
      <x:c r="I13" s="34" t="str">
        <x:v>Lần hoàn tất đầu thành công.</x:v>
      </x:c>
      <x:c r="J13" s="34"/>
      <x:c r="K13" s="64"/>
      <x:c r="L13" s="58"/>
      <x:c r="M13" s="73"/>
    </x:row>
    <x:row r="14" ht="40" customHeight="1">
      <x:c r="A14" s="74"/>
      <x:c r="B14" s="75"/>
      <x:c r="C14" s="75"/>
      <x:c r="D14" s="76"/>
      <x:c r="E14" s="76"/>
      <x:c r="F14" s="77" t="n">
        <x:v>3</x:v>
      </x:c>
      <x:c r="G14" s="76" t="str">
        <x:v>3. Gửi lại cùng reset token với mật khẩu khác.</x:v>
      </x:c>
      <x:c r="H14" s="76" t="str">
        <x:v>Token đã dùng</x:v>
      </x:c>
      <x:c r="I14" s="76" t="str">
        <x:v>API từ chối; đăng nhập vẫn chỉ dùng mật khẩu của lần hoàn tất đầu.</x:v>
      </x:c>
      <x:c r="J14" s="76"/>
      <x:c r="K14" s="78"/>
      <x:c r="L14" s="79"/>
      <x:c r="M14" s="80"/>
    </x:row>
    <x:row r="15" ht="40" customHeight="1">
      <x:c r="A15" s="65" t="n">
        <x:v>5</x:v>
      </x:c>
      <x:c r="B15" s="66" t="str">
        <x:v>ITR03</x:v>
      </x:c>
      <x:c r="C15" s="66" t="str">
        <x:v>ITR03_01</x:v>
      </x:c>
      <x:c r="D15" s="67" t="str">
        <x:v>Thú cưng mới được chọn để đặt lịch và liên kết đúng chủ nuôi</x:v>
      </x:c>
      <x:c r="E15" s="67" t="str">
        <x:v>Khách hàng A có tài khoản ACTIVE; có gói dịch vụ ACTIVE và ngày/giờ còn chỗ.</x:v>
      </x:c>
      <x:c r="F15" s="68" t="n">
        <x:v>1</x:v>
      </x:c>
      <x:c r="G15" s="67" t="str">
        <x:v>1. Khách hàng A tạo thú cưng thử nghiệm.</x:v>
      </x:c>
      <x:c r="H15" s="67" t="str">
        <x:v>Pet A</x:v>
      </x:c>
      <x:c r="I15" s="67" t="str">
        <x:v>Pet xuất hiện trong danh sách của A, có petId.</x:v>
      </x:c>
      <x:c r="J15" s="67" t="str">
        <x:v>Liên kết: F3.2, F3.5, F4.5; ThuCungController.cs, LichHenController.cs. Luồng Pet ↔ Booking.</x:v>
      </x:c>
      <x:c r="K15" s="69" t="str">
        <x:v>Not Executed</x:v>
      </x:c>
      <x:c r="L15" s="70"/>
      <x:c r="M15" s="71"/>
    </x:row>
    <x:row r="16" ht="40" customHeight="1">
      <x:c r="A16" s="72"/>
      <x:c r="B16" s="60"/>
      <x:c r="C16" s="60"/>
      <x:c r="D16" s="34"/>
      <x:c r="E16" s="34"/>
      <x:c r="F16" s="61" t="n">
        <x:v>2</x:v>
      </x:c>
      <x:c r="G16" s="34" t="str">
        <x:v>2. Chọn Pet A khi đặt lịch.</x:v>
      </x:c>
      <x:c r="H16" s="34" t="str">
        <x:v>petId của Pet A</x:v>
      </x:c>
      <x:c r="I16" s="34" t="str">
        <x:v>Lịch được tạo với petId Pet A, userId của A.</x:v>
      </x:c>
      <x:c r="J16" s="34"/>
      <x:c r="K16" s="64"/>
      <x:c r="L16" s="58"/>
      <x:c r="M16" s="73"/>
    </x:row>
    <x:row r="17" ht="40" customHeight="1">
      <x:c r="A17" s="74"/>
      <x:c r="B17" s="75"/>
      <x:c r="C17" s="75"/>
      <x:c r="D17" s="76"/>
      <x:c r="E17" s="76"/>
      <x:c r="F17" s="77" t="n">
        <x:v>3</x:v>
      </x:c>
      <x:c r="G17" s="76" t="str">
        <x:v>3. Khách hàng B đọc/thử đặt lịch cho petId A.</x:v>
      </x:c>
      <x:c r="H17" s="76" t="str">
        <x:v>Tài khoản B</x:v>
      </x:c>
      <x:c r="I17" s="76" t="str">
        <x:v>API không trả hồ sơ hoặc từ chối tạo lịch bằng Pet A.</x:v>
      </x:c>
      <x:c r="J17" s="76"/>
      <x:c r="K17" s="78"/>
      <x:c r="L17" s="79"/>
      <x:c r="M17" s="80"/>
    </x:row>
    <x:row r="18" ht="40" customHeight="1">
      <x:c r="A18" s="65" t="n">
        <x:v>6</x:v>
      </x:c>
      <x:c r="B18" s="66" t="str">
        <x:v>ITR03</x:v>
      </x:c>
      <x:c r="C18" s="66" t="str">
        <x:v>ITR03_02</x:v>
      </x:c>
      <x:c r="D18" s="67" t="str">
        <x:v>Không lưu trữ thú cưng còn lịch mở; lịch kết thúc thì lưu trữ được</x:v>
      </x:c>
      <x:c r="E18" s="67" t="str">
        <x:v>Pet A có lịch PENDING/CONFIRMED thử nghiệm.</x:v>
      </x:c>
      <x:c r="F18" s="68" t="n">
        <x:v>1</x:v>
      </x:c>
      <x:c r="G18" s="67" t="str">
        <x:v>1. Lưu trữ Pet A khi còn lịch đang mở.</x:v>
      </x:c>
      <x:c r="H18" s="67" t="str">
        <x:v>petId A</x:v>
      </x:c>
      <x:c r="I18" s="67" t="str">
        <x:v>API trả xung đột; pet vẫn ACTIVE trong danh sách.</x:v>
      </x:c>
      <x:c r="J18" s="67" t="str">
        <x:v>Liên kết: F3.2, F3.5, F4.5; ThuCungController.cs, LichHenController.cs. Archive kiểm tra trạng thái Booking.</x:v>
      </x:c>
      <x:c r="K18" s="69" t="str">
        <x:v>Not Executed</x:v>
      </x:c>
      <x:c r="L18" s="70"/>
      <x:c r="M18" s="71"/>
    </x:row>
    <x:row r="19" ht="40" customHeight="1">
      <x:c r="A19" s="72"/>
      <x:c r="B19" s="60"/>
      <x:c r="C19" s="60"/>
      <x:c r="D19" s="34"/>
      <x:c r="E19" s="34"/>
      <x:c r="F19" s="61" t="n">
        <x:v>2</x:v>
      </x:c>
      <x:c r="G19" s="34" t="str">
        <x:v>2. Hủy hoặc hoàn thành lịch theo quy trình phù hợp.</x:v>
      </x:c>
      <x:c r="H19" s="34" t="str">
        <x:v>bookingId liên quan</x:v>
      </x:c>
      <x:c r="I19" s="34" t="str">
        <x:v>Lịch chuyển CANCELLED hoặc COMPLETED.</x:v>
      </x:c>
      <x:c r="J19" s="34"/>
      <x:c r="K19" s="64"/>
      <x:c r="L19" s="58"/>
      <x:c r="M19" s="73"/>
    </x:row>
    <x:row r="20" ht="40" customHeight="1">
      <x:c r="A20" s="74"/>
      <x:c r="B20" s="75"/>
      <x:c r="C20" s="75"/>
      <x:c r="D20" s="76"/>
      <x:c r="E20" s="76"/>
      <x:c r="F20" s="77" t="n">
        <x:v>3</x:v>
      </x:c>
      <x:c r="G20" s="76" t="str">
        <x:v>3. Lưu trữ lại Pet A và mở danh sách đặt lịch.</x:v>
      </x:c>
      <x:c r="H20" s="76" t="str">
        <x:v>petId A</x:v>
      </x:c>
      <x:c r="I20" s="76" t="str">
        <x:v>Pet được đánh dấu archived và không còn được chọn để tạo lịch mới.</x:v>
      </x:c>
      <x:c r="J20" s="76"/>
      <x:c r="K20" s="78"/>
      <x:c r="L20" s="79"/>
      <x:c r="M20" s="80"/>
    </x:row>
    <x:row r="21" ht="32" customHeight="1">
      <x:c r="A21" s="65" t="n">
        <x:v>7</x:v>
      </x:c>
      <x:c r="B21" s="66" t="str">
        <x:v>ITR04</x:v>
      </x:c>
      <x:c r="C21" s="66" t="str">
        <x:v>ITR04_01</x:v>
      </x:c>
      <x:c r="D21" s="67" t="str">
        <x:v>Upload ảnh thú cưng cập nhật URL và publicId sau khi Cloudinary thành công</x:v>
      </x:c>
      <x:c r="E21" s="67" t="str">
        <x:v>Khách hàng A sở hữu Pet A; Cloudinary được cấu hình; có ảnh thử nghiệm hợp lệ.</x:v>
      </x:c>
      <x:c r="F21" s="68" t="n">
        <x:v>1</x:v>
      </x:c>
      <x:c r="G21" s="67" t="str">
        <x:v>1. Upload ảnh hợp lệ cho Pet A.</x:v>
      </x:c>
      <x:c r="H21" s="67" t="str">
        <x:v>JPG/PNG hợp lệ</x:v>
      </x:c>
      <x:c r="I21" s="67" t="str">
        <x:v>Cloudinary trả ảnh; API trả URL/publicId.</x:v>
      </x:c>
      <x:c r="J21" s="67" t="str">
        <x:v>Liên kết: F3.4; MediaController.cs. MediaController upload trước rồi mới lưu URL SQL.</x:v>
      </x:c>
      <x:c r="K21" s="69" t="str">
        <x:v>Not Executed</x:v>
      </x:c>
      <x:c r="L21" s="70"/>
      <x:c r="M21" s="71"/>
    </x:row>
    <x:row r="22" ht="40" customHeight="1">
      <x:c r="A22" s="72"/>
      <x:c r="B22" s="60"/>
      <x:c r="C22" s="60"/>
      <x:c r="D22" s="34"/>
      <x:c r="E22" s="34"/>
      <x:c r="F22" s="61" t="n">
        <x:v>2</x:v>
      </x:c>
      <x:c r="G22" s="34" t="str">
        <x:v>2. Tải lại hồ sơ Pet A.</x:v>
      </x:c>
      <x:c r="H22" s="34" t="str">
        <x:v>petId A</x:v>
      </x:c>
      <x:c r="I22" s="34" t="str">
        <x:v>Ảnh hiển thị từ URL đã lưu; imageUrl/imagePublicId gắn với Pet A.</x:v>
      </x:c>
      <x:c r="J22" s="34"/>
      <x:c r="K22" s="64"/>
      <x:c r="L22" s="58"/>
      <x:c r="M22" s="73"/>
    </x:row>
    <x:row r="23" ht="40" customHeight="1">
      <x:c r="A23" s="74"/>
      <x:c r="B23" s="75"/>
      <x:c r="C23" s="75"/>
      <x:c r="D23" s="76"/>
      <x:c r="E23" s="76"/>
      <x:c r="F23" s="77" t="n">
        <x:v>3</x:v>
      </x:c>
      <x:c r="G23" s="76" t="str">
        <x:v>3. Upload ảnh thay thế.</x:v>
      </x:c>
      <x:c r="H23" s="76" t="str">
        <x:v>Ảnh B hợp lệ</x:v>
      </x:c>
      <x:c r="I23" s="76" t="str">
        <x:v>Hồ sơ trỏ tới ảnh B; không còn trỏ tới ảnh A.</x:v>
      </x:c>
      <x:c r="J23" s="76"/>
      <x:c r="K23" s="78"/>
      <x:c r="L23" s="79"/>
      <x:c r="M23" s="80"/>
    </x:row>
    <x:row r="24" ht="40" customHeight="1">
      <x:c r="A24" s="65" t="n">
        <x:v>8</x:v>
      </x:c>
      <x:c r="B24" s="66" t="str">
        <x:v>ITR04</x:v>
      </x:c>
      <x:c r="C24" s="66" t="str">
        <x:v>ITR04_02</x:v>
      </x:c>
      <x:c r="D24" s="67" t="str">
        <x:v>Cloudinary lỗi không ghi URL ảnh không tồn tại vào SQL</x:v>
      </x:c>
      <x:c r="E24" s="67" t="str">
        <x:v>Pet A có ảnh trước đó hoặc chưa có ảnh; có cách mô phỏng Cloudinary lỗi/thiếu cấu hình.</x:v>
      </x:c>
      <x:c r="F24" s="68" t="n">
        <x:v>1</x:v>
      </x:c>
      <x:c r="G24" s="67" t="str">
        <x:v>1. Ghi nhận imageUrl hiện tại của Pet A.</x:v>
      </x:c>
      <x:c r="H24" s="67" t="str">
        <x:v>petId A</x:v>
      </x:c>
      <x:c r="I24" s="67" t="str">
        <x:v>Có giá trị mốc để đối chiếu.</x:v>
      </x:c>
      <x:c r="J24" s="67" t="str">
        <x:v>Liên kết: F3.4; MediaController.cs. Cần môi trường test kiểm soát lỗi upstream.</x:v>
      </x:c>
      <x:c r="K24" s="69" t="str">
        <x:v>Not Executed</x:v>
      </x:c>
      <x:c r="L24" s="70"/>
      <x:c r="M24" s="71"/>
    </x:row>
    <x:row r="25" ht="40" customHeight="1">
      <x:c r="A25" s="72"/>
      <x:c r="B25" s="60"/>
      <x:c r="C25" s="60"/>
      <x:c r="D25" s="34"/>
      <x:c r="E25" s="34"/>
      <x:c r="F25" s="61" t="n">
        <x:v>2</x:v>
      </x:c>
      <x:c r="G25" s="34" t="str">
        <x:v>2. Thử upload khi Cloudinary trả lỗi hoặc thiếu cấu hình.</x:v>
      </x:c>
      <x:c r="H25" s="34" t="str">
        <x:v>Ảnh hợp lệ</x:v>
      </x:c>
      <x:c r="I25" s="34" t="str">
        <x:v>API báo lỗi 502/503 tương ứng.</x:v>
      </x:c>
      <x:c r="J25" s="34"/>
      <x:c r="K25" s="64"/>
      <x:c r="L25" s="58"/>
      <x:c r="M25" s="73"/>
    </x:row>
    <x:row r="26" ht="40" customHeight="1">
      <x:c r="A26" s="74"/>
      <x:c r="B26" s="75"/>
      <x:c r="C26" s="75"/>
      <x:c r="D26" s="76"/>
      <x:c r="E26" s="76"/>
      <x:c r="F26" s="77" t="n">
        <x:v>3</x:v>
      </x:c>
      <x:c r="G26" s="76" t="str">
        <x:v>3. Tải lại hồ sơ Pet A.</x:v>
      </x:c>
      <x:c r="H26" s="76" t="str">
        <x:v>petId A</x:v>
      </x:c>
      <x:c r="I26" s="76" t="str">
        <x:v>imageUrl/imagePublicId vẫn là giá trị cũ; không hiển thị URL ảnh thất bại.</x:v>
      </x:c>
      <x:c r="J26" s="76"/>
      <x:c r="K26" s="78"/>
      <x:c r="L26" s="79"/>
      <x:c r="M26" s="80"/>
    </x:row>
    <x:row r="27" ht="40" customHeight="1">
      <x:c r="A27" s="65" t="n">
        <x:v>9</x:v>
      </x:c>
      <x:c r="B27" s="66" t="str">
        <x:v>ITR05</x:v>
      </x:c>
      <x:c r="C27" s="66" t="str">
        <x:v>ITR05_01</x:v>
      </x:c>
      <x:c r="D27" s="67" t="str">
        <x:v>Gói dịch vụ ACTIVE từ quản trị xuất hiện ở luồng đặt lịch</x:v>
      </x:c>
      <x:c r="E27" s="67" t="str">
        <x:v>ADMIN có quyền quản lý danh mục/gói; khách A đăng nhập.</x:v>
      </x:c>
      <x:c r="F27" s="68" t="n">
        <x:v>1</x:v>
      </x:c>
      <x:c r="G27" s="67" t="str">
        <x:v>1. ADMIN tạo danh mục ACTIVE và gói ACTIVE.</x:v>
      </x:c>
      <x:c r="H27" s="67" t="str">
        <x:v>Danh mục D, gói S giá/thời lượng &gt;0</x:v>
      </x:c>
      <x:c r="I27" s="67" t="str">
        <x:v>Gói S gắn đúng danh mục và lưu ACTIVE.</x:v>
      </x:c>
      <x:c r="J27" s="67" t="str">
        <x:v>Liên kết: F4.3, F11.10–F11.12; DanhMucController.cs, ServicePackagesController.cs. Frontend lọc gói ACTIVE; backend cũng kiểm tra khi tạo lịch.</x:v>
      </x:c>
      <x:c r="K27" s="69" t="str">
        <x:v>Not Executed</x:v>
      </x:c>
      <x:c r="L27" s="70"/>
      <x:c r="M27" s="71"/>
    </x:row>
    <x:row r="28" ht="32" customHeight="1">
      <x:c r="A28" s="72"/>
      <x:c r="B28" s="60"/>
      <x:c r="C28" s="60"/>
      <x:c r="D28" s="34"/>
      <x:c r="E28" s="34"/>
      <x:c r="F28" s="61" t="n">
        <x:v>2</x:v>
      </x:c>
      <x:c r="G28" s="34" t="str">
        <x:v>2. Khách A mở màn hình đặt lịch.</x:v>
      </x:c>
      <x:c r="H28" s="34" t="str">
        <x:v>Tài khoản A</x:v>
      </x:c>
      <x:c r="I28" s="34" t="str">
        <x:v>Gói S hiển thị với giá, thời lượng đã lưu.</x:v>
      </x:c>
      <x:c r="J28" s="34"/>
      <x:c r="K28" s="64"/>
      <x:c r="L28" s="58"/>
      <x:c r="M28" s="73"/>
    </x:row>
    <x:row r="29" ht="40" customHeight="1">
      <x:c r="A29" s="74"/>
      <x:c r="B29" s="75"/>
      <x:c r="C29" s="75"/>
      <x:c r="D29" s="76"/>
      <x:c r="E29" s="76"/>
      <x:c r="F29" s="77" t="n">
        <x:v>3</x:v>
      </x:c>
      <x:c r="G29" s="76" t="str">
        <x:v>3. Chọn gói S và xem giờ trống.</x:v>
      </x:c>
      <x:c r="H29" s="76" t="str">
        <x:v>Pet A, ngày hợp lệ</x:v>
      </x:c>
      <x:c r="I29" s="76" t="str">
        <x:v>Thời lượng tổng và giờ trống tính từ thời lượng của S.</x:v>
      </x:c>
      <x:c r="J29" s="76"/>
      <x:c r="K29" s="78"/>
      <x:c r="L29" s="79"/>
      <x:c r="M29" s="80"/>
    </x:row>
    <x:row r="30" ht="40" customHeight="1">
      <x:c r="A30" s="65" t="n">
        <x:v>10</x:v>
      </x:c>
      <x:c r="B30" s="66" t="str">
        <x:v>ITR05</x:v>
      </x:c>
      <x:c r="C30" s="66" t="str">
        <x:v>ITR05_02</x:v>
      </x:c>
      <x:c r="D30" s="67" t="str">
        <x:v>Gói chuyển INACTIVE không thể tạo lịch mới dù dùng ID cũ</x:v>
      </x:c>
      <x:c r="E30" s="67" t="str">
        <x:v>Đã có gói S ACTIVE; ADMIN và khách A có tài khoản.</x:v>
      </x:c>
      <x:c r="F30" s="68" t="n">
        <x:v>1</x:v>
      </x:c>
      <x:c r="G30" s="67" t="str">
        <x:v>1. ADMIN chuyển gói S sang INACTIVE.</x:v>
      </x:c>
      <x:c r="H30" s="67" t="str">
        <x:v>serviceId S</x:v>
      </x:c>
      <x:c r="I30" s="67" t="str">
        <x:v>Trạng thái gói được lưu INACTIVE.</x:v>
      </x:c>
      <x:c r="J30" s="67" t="str">
        <x:v>Liên kết: F4.3, F11.10–F11.12; DanhMucController.cs, ServicePackagesController.cs. Kiểm tra cả UI và API để tránh lọt qua bộ lọc giao diện.</x:v>
      </x:c>
      <x:c r="K30" s="69" t="str">
        <x:v>Not Executed</x:v>
      </x:c>
      <x:c r="L30" s="70"/>
      <x:c r="M30" s="71"/>
    </x:row>
    <x:row r="31" ht="32" customHeight="1">
      <x:c r="A31" s="72"/>
      <x:c r="B31" s="60"/>
      <x:c r="C31" s="60"/>
      <x:c r="D31" s="34"/>
      <x:c r="E31" s="34"/>
      <x:c r="F31" s="61" t="n">
        <x:v>2</x:v>
      </x:c>
      <x:c r="G31" s="34" t="str">
        <x:v>2. Khách A tải lại form đặt lịch.</x:v>
      </x:c>
      <x:c r="H31" s="34" t="str">
        <x:v>Tài khoản A</x:v>
      </x:c>
      <x:c r="I31" s="34" t="str">
        <x:v>Gói S không còn trong danh sách chọn.</x:v>
      </x:c>
      <x:c r="J31" s="34"/>
      <x:c r="K31" s="64"/>
      <x:c r="L31" s="58"/>
      <x:c r="M31" s="73"/>
    </x:row>
    <x:row r="32" ht="40" customHeight="1">
      <x:c r="A32" s="74"/>
      <x:c r="B32" s="75"/>
      <x:c r="C32" s="75"/>
      <x:c r="D32" s="76"/>
      <x:c r="E32" s="76"/>
      <x:c r="F32" s="77" t="n">
        <x:v>3</x:v>
      </x:c>
      <x:c r="G32" s="76" t="str">
        <x:v>3. Gửi yêu cầu tạo lịch dùng serviceId S cũ.</x:v>
      </x:c>
      <x:c r="H32" s="76" t="str">
        <x:v>Pet A, S, ngày/giờ hợp lệ</x:v>
      </x:c>
      <x:c r="I32" s="76" t="str">
        <x:v>API từ chối; không phát sinh Booking, BookingDetail, Payment.</x:v>
      </x:c>
      <x:c r="J32" s="76"/>
      <x:c r="K32" s="78"/>
      <x:c r="L32" s="79"/>
      <x:c r="M32" s="80"/>
    </x:row>
    <x:row r="33" ht="40" customHeight="1">
      <x:c r="A33" s="65" t="n">
        <x:v>11</x:v>
      </x:c>
      <x:c r="B33" s="66" t="str">
        <x:v>ITR06</x:v>
      </x:c>
      <x:c r="C33" s="66" t="str">
        <x:v>ITR06_01</x:v>
      </x:c>
      <x:c r="D33" s="67" t="str">
        <x:v>Tạo lịch tiền mặt tạo đầy đủ dữ liệu liên kết</x:v>
      </x:c>
      <x:c r="E33" s="67" t="str">
        <x:v>Khách A có Pet A; dịch vụ S ACTIVE; giờ còn chỗ.</x:v>
      </x:c>
      <x:c r="F33" s="68" t="n">
        <x:v>1</x:v>
      </x:c>
      <x:c r="G33" s="67" t="str">
        <x:v>1. Khách A đặt lịch tiền mặt.</x:v>
      </x:c>
      <x:c r="H33" s="67" t="str">
        <x:v>Pet A, S, CASH, requestId mới</x:v>
      </x:c>
      <x:c r="I33" s="67" t="str">
        <x:v>API tạo một Booking PENDING với tổng tiền bằng giá gói.</x:v>
      </x:c>
      <x:c r="J33" s="67" t="str">
        <x:v>Liên kết: F4.5–F4.7, F7; LichHenController.cs. Đối chiếu cùng bookingId qua các màn hình/API.</x:v>
      </x:c>
      <x:c r="K33" s="69" t="str">
        <x:v>Not Executed</x:v>
      </x:c>
      <x:c r="L33" s="70"/>
      <x:c r="M33" s="71"/>
    </x:row>
    <x:row r="34" ht="40" customHeight="1">
      <x:c r="A34" s="72"/>
      <x:c r="B34" s="60"/>
      <x:c r="C34" s="60"/>
      <x:c r="D34" s="34"/>
      <x:c r="E34" s="34"/>
      <x:c r="F34" s="61" t="n">
        <x:v>2</x:v>
      </x:c>
      <x:c r="G34" s="34" t="str">
        <x:v>2. Mở chi tiết lịch và thanh toán.</x:v>
      </x:c>
      <x:c r="H34" s="34" t="str">
        <x:v>bookingId vừa tạo</x:v>
      </x:c>
      <x:c r="I34" s="34" t="str">
        <x:v>BookingDetail chứa S/giá đúng; Payment CASH PENDING có cùng bookingId.</x:v>
      </x:c>
      <x:c r="J34" s="34"/>
      <x:c r="K34" s="64"/>
      <x:c r="L34" s="58"/>
      <x:c r="M34" s="73"/>
    </x:row>
    <x:row r="35" ht="40" customHeight="1">
      <x:c r="A35" s="74"/>
      <x:c r="B35" s="75"/>
      <x:c r="C35" s="75"/>
      <x:c r="D35" s="76"/>
      <x:c r="E35" s="76"/>
      <x:c r="F35" s="77" t="n">
        <x:v>3</x:v>
      </x:c>
      <x:c r="G35" s="76" t="str">
        <x:v>3. Mở thông báo của khách A.</x:v>
      </x:c>
      <x:c r="H35" s="76" t="str">
        <x:v>Tài khoản A</x:v>
      </x:c>
      <x:c r="I35" s="76" t="str">
        <x:v>Có thông báo đặt lịch liên kết bookingId; khách khác không thấy.</x:v>
      </x:c>
      <x:c r="J35" s="76"/>
      <x:c r="K35" s="78"/>
      <x:c r="L35" s="79"/>
      <x:c r="M35" s="80"/>
    </x:row>
    <x:row r="36" ht="40" customHeight="1">
      <x:c r="A36" s="65" t="n">
        <x:v>12</x:v>
      </x:c>
      <x:c r="B36" s="66" t="str">
        <x:v>ITR06</x:v>
      </x:c>
      <x:c r="C36" s="66" t="str">
        <x:v>ITR06_02</x:v>
      </x:c>
      <x:c r="D36" s="67" t="str">
        <x:v>Gửi lại cùng requestId không nhân đôi lịch, thanh toán, thông báo</x:v>
      </x:c>
      <x:c r="E36" s="67" t="str">
        <x:v>Đã tạo lịch thử nghiệm thành công với requestId R.</x:v>
      </x:c>
      <x:c r="F36" s="68" t="n">
        <x:v>1</x:v>
      </x:c>
      <x:c r="G36" s="67" t="str">
        <x:v>1. Ghi bookingId, số payment và thông báo của lịch R.</x:v>
      </x:c>
      <x:c r="H36" s="67" t="str">
        <x:v>requestId R</x:v>
      </x:c>
      <x:c r="I36" s="67" t="str">
        <x:v>Có mốc đối chiếu.</x:v>
      </x:c>
      <x:c r="J36" s="67" t="str">
        <x:v>Liên kết: F4.5–F4.7, F7; LichHenController.cs. Idempotency trong BookingsController.</x:v>
      </x:c>
      <x:c r="K36" s="69" t="str">
        <x:v>Not Executed</x:v>
      </x:c>
      <x:c r="L36" s="70"/>
      <x:c r="M36" s="71"/>
    </x:row>
    <x:row r="37" ht="40" customHeight="1">
      <x:c r="A37" s="72"/>
      <x:c r="B37" s="60"/>
      <x:c r="C37" s="60"/>
      <x:c r="D37" s="34"/>
      <x:c r="E37" s="34"/>
      <x:c r="F37" s="61" t="n">
        <x:v>2</x:v>
      </x:c>
      <x:c r="G37" s="34" t="str">
        <x:v>2. Gửi lại POST tạo lịch với cùng requestId R.</x:v>
      </x:c>
      <x:c r="H37" s="34" t="str">
        <x:v>Cùng tài khoản và R</x:v>
      </x:c>
      <x:c r="I37" s="34" t="str">
        <x:v>API trả lịch cũ thay vì tạo lịch mới.</x:v>
      </x:c>
      <x:c r="J37" s="34"/>
      <x:c r="K37" s="64"/>
      <x:c r="L37" s="58"/>
      <x:c r="M37" s="73"/>
    </x:row>
    <x:row r="38" ht="55" customHeight="1">
      <x:c r="A38" s="74"/>
      <x:c r="B38" s="75"/>
      <x:c r="C38" s="75"/>
      <x:c r="D38" s="76"/>
      <x:c r="E38" s="76"/>
      <x:c r="F38" s="77" t="n">
        <x:v>3</x:v>
      </x:c>
      <x:c r="G38" s="76" t="str">
        <x:v>3. Đọc lại lịch, payment và thông báo.</x:v>
      </x:c>
      <x:c r="H38" s="76" t="str">
        <x:v>bookingId của R</x:v>
      </x:c>
      <x:c r="I38" s="76" t="str">
        <x:v>Vẫn chỉ có một Booking và một Payment cho yêu cầu R; không tạo thêm thông báo đặt lịch.</x:v>
      </x:c>
      <x:c r="J38" s="76"/>
      <x:c r="K38" s="78"/>
      <x:c r="L38" s="79"/>
      <x:c r="M38" s="80"/>
    </x:row>
    <x:row r="39" ht="40" customHeight="1">
      <x:c r="A39" s="65" t="n">
        <x:v>13</x:v>
      </x:c>
      <x:c r="B39" s="66" t="str">
        <x:v>ITR07</x:v>
      </x:c>
      <x:c r="C39" s="66" t="str">
        <x:v>ITR07_01</x:v>
      </x:c>
      <x:c r="D39" s="67" t="str">
        <x:v>Đặt lịch chiếm chỗ và chặn lịch trùng của cùng thú cưng</x:v>
      </x:c>
      <x:c r="E39" s="67" t="str">
        <x:v>Pet A, S ACTIVE; chọn ngày/giờ trống trong vòng 6 tháng.</x:v>
      </x:c>
      <x:c r="F39" s="68" t="n">
        <x:v>1</x:v>
      </x:c>
      <x:c r="G39" s="67" t="str">
        <x:v>1. Kiểm tra khung giờ còn trống cho Pet A.</x:v>
      </x:c>
      <x:c r="H39" s="67" t="str">
        <x:v>Ngày D, giờ T, S</x:v>
      </x:c>
      <x:c r="I39" s="67" t="str">
        <x:v>Availability báo T còn chọn được.</x:v>
      </x:c>
      <x:c r="J39" s="67" t="str">
        <x:v>Liên kết: F4.4, F4.7; LichHenController.cs. So sánh GET availability và POST Booking.</x:v>
      </x:c>
      <x:c r="K39" s="69" t="str">
        <x:v>Not Executed</x:v>
      </x:c>
      <x:c r="L39" s="70"/>
      <x:c r="M39" s="71"/>
    </x:row>
    <x:row r="40" ht="32" customHeight="1">
      <x:c r="A40" s="72"/>
      <x:c r="B40" s="60"/>
      <x:c r="C40" s="60"/>
      <x:c r="D40" s="34"/>
      <x:c r="E40" s="34"/>
      <x:c r="F40" s="61" t="n">
        <x:v>2</x:v>
      </x:c>
      <x:c r="G40" s="34" t="str">
        <x:v>2. Tạo lịch cho Pet A vào T.</x:v>
      </x:c>
      <x:c r="H40" s="34" t="str">
        <x:v>D, T, S</x:v>
      </x:c>
      <x:c r="I40" s="34" t="str">
        <x:v>Booking PENDING được tạo.</x:v>
      </x:c>
      <x:c r="J40" s="34"/>
      <x:c r="K40" s="64"/>
      <x:c r="L40" s="58"/>
      <x:c r="M40" s="73"/>
    </x:row>
    <x:row r="41" ht="40" customHeight="1">
      <x:c r="A41" s="74"/>
      <x:c r="B41" s="75"/>
      <x:c r="C41" s="75"/>
      <x:c r="D41" s="76"/>
      <x:c r="E41" s="76"/>
      <x:c r="F41" s="77" t="n">
        <x:v>3</x:v>
      </x:c>
      <x:c r="G41" s="76" t="str">
        <x:v>3. Kiểm tra và thử đặt thêm lịch chồng giờ cho Pet A.</x:v>
      </x:c>
      <x:c r="H41" s="76" t="str">
        <x:v>Cùng Pet A, khung giờ chồng lấn</x:v>
      </x:c>
      <x:c r="I41" s="76" t="str">
        <x:v>Availability báo xung đột; POST trả Conflict, không tạo Payment mới.</x:v>
      </x:c>
      <x:c r="J41" s="76"/>
      <x:c r="K41" s="78"/>
      <x:c r="L41" s="79"/>
      <x:c r="M41" s="80"/>
    </x:row>
    <x:row r="42" ht="40" customHeight="1">
      <x:c r="A42" s="65" t="n">
        <x:v>14</x:v>
      </x:c>
      <x:c r="B42" s="66" t="str">
        <x:v>ITR07</x:v>
      </x:c>
      <x:c r="C42" s="66" t="str">
        <x:v>ITR07_02</x:v>
      </x:c>
      <x:c r="D42" s="67" t="str">
        <x:v>Thời lượng nhiều gói được cộng khi kiểm tra năng lực khung giờ</x:v>
      </x:c>
      <x:c r="E42" s="67" t="str">
        <x:v>Có hai gói S1, S2 ACTIVE và Pet A; còn chỗ vào một số khung giờ.</x:v>
      </x:c>
      <x:c r="F42" s="68" t="n">
        <x:v>1</x:v>
      </x:c>
      <x:c r="G42" s="67" t="str">
        <x:v>1. Chọn S1 và S2 rồi hỏi availability.</x:v>
      </x:c>
      <x:c r="H42" s="67" t="str">
        <x:v>duration S1 + S2</x:v>
      </x:c>
      <x:c r="I42" s="67" t="str">
        <x:v>durationMinutes bằng tổng hai gói.</x:v>
      </x:c>
      <x:c r="J42" s="67" t="str">
        <x:v>Liên kết: F4.4, F4.7; LichHenController.cs. Kiểm tra dữ liệu dịch vụ truyền sang availability/booking.</x:v>
      </x:c>
      <x:c r="K42" s="69" t="str">
        <x:v>Not Executed</x:v>
      </x:c>
      <x:c r="L42" s="70"/>
      <x:c r="M42" s="71"/>
    </x:row>
    <x:row r="43" ht="40" customHeight="1">
      <x:c r="A43" s="72"/>
      <x:c r="B43" s="60"/>
      <x:c r="C43" s="60"/>
      <x:c r="D43" s="34"/>
      <x:c r="E43" s="34"/>
      <x:c r="F43" s="61" t="n">
        <x:v>2</x:v>
      </x:c>
      <x:c r="G43" s="34" t="str">
        <x:v>2. Chọn giờ gần cuối ngày không đủ tổng thời lượng.</x:v>
      </x:c>
      <x:c r="H43" s="34" t="str">
        <x:v>Ngày D, giờ T</x:v>
      </x:c>
      <x:c r="I43" s="34" t="str">
        <x:v>Giờ T bị đánh dấu không khả dụng hoặc POST bị từ chối.</x:v>
      </x:c>
      <x:c r="J43" s="34"/>
      <x:c r="K43" s="64"/>
      <x:c r="L43" s="58"/>
      <x:c r="M43" s="73"/>
    </x:row>
    <x:row r="44" ht="40" customHeight="1">
      <x:c r="A44" s="74"/>
      <x:c r="B44" s="75"/>
      <x:c r="C44" s="75"/>
      <x:c r="D44" s="76"/>
      <x:c r="E44" s="76"/>
      <x:c r="F44" s="77" t="n">
        <x:v>3</x:v>
      </x:c>
      <x:c r="G44" s="76" t="str">
        <x:v>3. Chọn giờ đủ thời lượng và tạo lịch.</x:v>
      </x:c>
      <x:c r="H44" s="76" t="str">
        <x:v>Pet A, S1, S2</x:v>
      </x:c>
      <x:c r="I44" s="76" t="str">
        <x:v>Booking.durationMinutes bằng tổng; có hai BookingDetail với giá tương ứng.</x:v>
      </x:c>
      <x:c r="J44" s="76"/>
      <x:c r="K44" s="78"/>
      <x:c r="L44" s="79"/>
      <x:c r="M44" s="80"/>
    </x:row>
    <x:row r="45" ht="40" customHeight="1">
      <x:c r="A45" s="65" t="n">
        <x:v>15</x:v>
      </x:c>
      <x:c r="B45" s="66" t="str">
        <x:v>ITR08</x:v>
      </x:c>
      <x:c r="C45" s="66" t="str">
        <x:v>ITR08_01</x:v>
      </x:c>
      <x:c r="D45" s="67" t="str">
        <x:v>Đổi lịch hợp lệ cập nhật giờ ở các góc nhìn và tạo thông báo</x:v>
      </x:c>
      <x:c r="E45" s="67" t="str">
        <x:v>Khách A có lịch PENDING hoặc CONFIRMED; giờ mới còn chỗ.</x:v>
      </x:c>
      <x:c r="F45" s="68" t="n">
        <x:v>1</x:v>
      </x:c>
      <x:c r="G45" s="67" t="str">
        <x:v>1. Ghi thời gian cũ và đổi lịch sang giờ mới.</x:v>
      </x:c>
      <x:c r="H45" s="67" t="str">
        <x:v>bookingId, ngày/giờ mới</x:v>
      </x:c>
      <x:c r="I45" s="67" t="str">
        <x:v>API cập nhật bookingDate/bookingTime.</x:v>
      </x:c>
      <x:c r="J45" s="67" t="str">
        <x:v>Liên kết: F4.8, F7; LichHenController.cs. Luồng Booking ↔ availability ↔ Notifications.</x:v>
      </x:c>
      <x:c r="K45" s="69" t="str">
        <x:v>Not Executed</x:v>
      </x:c>
      <x:c r="L45" s="70"/>
      <x:c r="M45" s="71"/>
    </x:row>
    <x:row r="46" ht="40" customHeight="1">
      <x:c r="A46" s="72"/>
      <x:c r="B46" s="60"/>
      <x:c r="C46" s="60"/>
      <x:c r="D46" s="34"/>
      <x:c r="E46" s="34"/>
      <x:c r="F46" s="61" t="n">
        <x:v>2</x:v>
      </x:c>
      <x:c r="G46" s="34" t="str">
        <x:v>2. Tải lại danh sách lịch của khách và vận hành.</x:v>
      </x:c>
      <x:c r="H46" s="34" t="str">
        <x:v>bookingId</x:v>
      </x:c>
      <x:c r="I46" s="34" t="str">
        <x:v>Cả hai góc nhìn hiển thị thời gian mới; giờ cũ không còn bị lịch đó chiếm.</x:v>
      </x:c>
      <x:c r="J46" s="34"/>
      <x:c r="K46" s="64"/>
      <x:c r="L46" s="58"/>
      <x:c r="M46" s="73"/>
    </x:row>
    <x:row r="47" ht="40" customHeight="1">
      <x:c r="A47" s="74"/>
      <x:c r="B47" s="75"/>
      <x:c r="C47" s="75"/>
      <x:c r="D47" s="76"/>
      <x:c r="E47" s="76"/>
      <x:c r="F47" s="77" t="n">
        <x:v>3</x:v>
      </x:c>
      <x:c r="G47" s="76" t="str">
        <x:v>3. Mở thông báo khách A.</x:v>
      </x:c>
      <x:c r="H47" s="76" t="str">
        <x:v>bookingId</x:v>
      </x:c>
      <x:c r="I47" s="76" t="str">
        <x:v>Có thông báo thay đổi lịch liên kết bookingId.</x:v>
      </x:c>
      <x:c r="J47" s="76"/>
      <x:c r="K47" s="78"/>
      <x:c r="L47" s="79"/>
      <x:c r="M47" s="80"/>
    </x:row>
    <x:row r="48" ht="40" customHeight="1">
      <x:c r="A48" s="65" t="n">
        <x:v>16</x:v>
      </x:c>
      <x:c r="B48" s="66" t="str">
        <x:v>ITR08</x:v>
      </x:c>
      <x:c r="C48" s="66" t="str">
        <x:v>ITR08_02</x:v>
      </x:c>
      <x:c r="D48" s="67" t="str">
        <x:v>Đổi sang giờ xung đột không thay đổi lịch hay gửi thông báo</x:v>
      </x:c>
      <x:c r="E48" s="67" t="str">
        <x:v>Có lịch A và khung giờ mới đã xung đột với Pet A/nhân sự.</x:v>
      </x:c>
      <x:c r="F48" s="68" t="n">
        <x:v>1</x:v>
      </x:c>
      <x:c r="G48" s="67" t="str">
        <x:v>1. Ghi thời gian và số thông báo ban đầu của lịch A.</x:v>
      </x:c>
      <x:c r="H48" s="67" t="str">
        <x:v>bookingId A</x:v>
      </x:c>
      <x:c r="I48" s="67" t="str">
        <x:v>Có mốc đối chiếu.</x:v>
      </x:c>
      <x:c r="J48" s="67" t="str">
        <x:v>Liên kết: F4.8, F7; LichHenController.cs. Kiểm tra tính nhất quán khi API trả Conflict.</x:v>
      </x:c>
      <x:c r="K48" s="69" t="str">
        <x:v>Not Executed</x:v>
      </x:c>
      <x:c r="L48" s="70"/>
      <x:c r="M48" s="71"/>
    </x:row>
    <x:row r="49" ht="32" customHeight="1">
      <x:c r="A49" s="72"/>
      <x:c r="B49" s="60"/>
      <x:c r="C49" s="60"/>
      <x:c r="D49" s="34"/>
      <x:c r="E49" s="34"/>
      <x:c r="F49" s="61" t="n">
        <x:v>2</x:v>
      </x:c>
      <x:c r="G49" s="34" t="str">
        <x:v>2. Đổi lịch A sang giờ xung đột.</x:v>
      </x:c>
      <x:c r="H49" s="34" t="str">
        <x:v>Ngày/giờ chồng lấn</x:v>
      </x:c>
      <x:c r="I49" s="34" t="str">
        <x:v>API trả Conflict.</x:v>
      </x:c>
      <x:c r="J49" s="34"/>
      <x:c r="K49" s="64"/>
      <x:c r="L49" s="58"/>
      <x:c r="M49" s="73"/>
    </x:row>
    <x:row r="50" ht="40" customHeight="1">
      <x:c r="A50" s="74"/>
      <x:c r="B50" s="75"/>
      <x:c r="C50" s="75"/>
      <x:c r="D50" s="76"/>
      <x:c r="E50" s="76"/>
      <x:c r="F50" s="77" t="n">
        <x:v>3</x:v>
      </x:c>
      <x:c r="G50" s="76" t="str">
        <x:v>3. Tải lại lịch và thông báo.</x:v>
      </x:c>
      <x:c r="H50" s="76" t="str">
        <x:v>bookingId A</x:v>
      </x:c>
      <x:c r="I50" s="76" t="str">
        <x:v>Ngày/giờ vẫn như cũ; không có thông báo đổi lịch mới.</x:v>
      </x:c>
      <x:c r="J50" s="76"/>
      <x:c r="K50" s="78"/>
      <x:c r="L50" s="79"/>
      <x:c r="M50" s="80"/>
    </x:row>
    <x:row r="51" ht="32" customHeight="1">
      <x:c r="A51" s="65" t="n">
        <x:v>17</x:v>
      </x:c>
      <x:c r="B51" s="66" t="str">
        <x:v>ITR09</x:v>
      </x:c>
      <x:c r="C51" s="66" t="str">
        <x:v>ITR09_01</x:v>
      </x:c>
      <x:c r="D51" s="67" t="str">
        <x:v>Hủy lịch chưa trả tiền đổi Payment PENDING thành FAILED và giải phóng chỗ</x:v>
      </x:c>
      <x:c r="E51" s="67" t="str">
        <x:v>Khách A có lịch PENDING/CONFIRMED và Payment PENDING.</x:v>
      </x:c>
      <x:c r="F51" s="68" t="n">
        <x:v>1</x:v>
      </x:c>
      <x:c r="G51" s="67" t="str">
        <x:v>1. Hủy lịch A.</x:v>
      </x:c>
      <x:c r="H51" s="67" t="str">
        <x:v>bookingId A</x:v>
      </x:c>
      <x:c r="I51" s="67" t="str">
        <x:v>Booking chuyển CANCELLED.</x:v>
      </x:c>
      <x:c r="J51" s="67" t="str">
        <x:v>Liên kết: F4.9, F5.1, F7; LichHenController.cs. Luồng Booking ↔ Payment ↔ capacity ↔ Notification.</x:v>
      </x:c>
      <x:c r="K51" s="69" t="str">
        <x:v>Not Executed</x:v>
      </x:c>
      <x:c r="L51" s="70"/>
      <x:c r="M51" s="71"/>
    </x:row>
    <x:row r="52" ht="40" customHeight="1">
      <x:c r="A52" s="72"/>
      <x:c r="B52" s="60"/>
      <x:c r="C52" s="60"/>
      <x:c r="D52" s="34"/>
      <x:c r="E52" s="34"/>
      <x:c r="F52" s="61" t="n">
        <x:v>2</x:v>
      </x:c>
      <x:c r="G52" s="34" t="str">
        <x:v>2. Mở thanh toán và thông báo của A.</x:v>
      </x:c>
      <x:c r="H52" s="34" t="str">
        <x:v>bookingId A</x:v>
      </x:c>
      <x:c r="I52" s="34" t="str">
        <x:v>Payment PENDING của lịch đổi FAILED; có thông báo hủy.</x:v>
      </x:c>
      <x:c r="J52" s="34"/>
      <x:c r="K52" s="64"/>
      <x:c r="L52" s="58"/>
      <x:c r="M52" s="73"/>
    </x:row>
    <x:row r="53" ht="40" customHeight="1">
      <x:c r="A53" s="74"/>
      <x:c r="B53" s="75"/>
      <x:c r="C53" s="75"/>
      <x:c r="D53" s="76"/>
      <x:c r="E53" s="76"/>
      <x:c r="F53" s="77" t="n">
        <x:v>3</x:v>
      </x:c>
      <x:c r="G53" s="76" t="str">
        <x:v>3. Hỏi availability tại khung giờ cũ.</x:v>
      </x:c>
      <x:c r="H53" s="76" t="str">
        <x:v>Pet A, ngày/giờ cũ</x:v>
      </x:c>
      <x:c r="I53" s="76" t="str">
        <x:v>Lịch đã hủy không còn chiếm chỗ.</x:v>
      </x:c>
      <x:c r="J53" s="76"/>
      <x:c r="K53" s="78"/>
      <x:c r="L53" s="79"/>
      <x:c r="M53" s="80"/>
    </x:row>
    <x:row r="54" ht="32" customHeight="1">
      <x:c r="A54" s="65" t="n">
        <x:v>18</x:v>
      </x:c>
      <x:c r="B54" s="66" t="str">
        <x:v>ITR09</x:v>
      </x:c>
      <x:c r="C54" s="66" t="str">
        <x:v>ITR09_02</x:v>
      </x:c>
      <x:c r="D54" s="67" t="str">
        <x:v>Lịch đã PAID không hủy trực tiếp trước khi xử lý hoàn tiền</x:v>
      </x:c>
      <x:c r="E54" s="67" t="str">
        <x:v>Có lịch PENDING/CONFIRMED với Payment PAID.</x:v>
      </x:c>
      <x:c r="F54" s="68" t="n">
        <x:v>1</x:v>
      </x:c>
      <x:c r="G54" s="67" t="str">
        <x:v>1. Ghi trạng thái lịch và Payment.</x:v>
      </x:c>
      <x:c r="H54" s="67" t="str">
        <x:v>bookingId A</x:v>
      </x:c>
      <x:c r="I54" s="67" t="str">
        <x:v>Booking chưa CANCELLED, Payment PAID.</x:v>
      </x:c>
      <x:c r="J54" s="67" t="str">
        <x:v>Liên kết: F4.9, F5.1, F7; LichHenController.cs. Backend trả Conflict và yêu cầu xử lý hoàn tiền trước.</x:v>
      </x:c>
      <x:c r="K54" s="69" t="str">
        <x:v>Not Executed</x:v>
      </x:c>
      <x:c r="L54" s="70"/>
      <x:c r="M54" s="71"/>
    </x:row>
    <x:row r="55" ht="40" customHeight="1">
      <x:c r="A55" s="72"/>
      <x:c r="B55" s="60"/>
      <x:c r="C55" s="60"/>
      <x:c r="D55" s="34"/>
      <x:c r="E55" s="34"/>
      <x:c r="F55" s="61" t="n">
        <x:v>2</x:v>
      </x:c>
      <x:c r="G55" s="34" t="str">
        <x:v>2. Thử hủy lịch A.</x:v>
      </x:c>
      <x:c r="H55" s="34" t="str">
        <x:v>bookingId A</x:v>
      </x:c>
      <x:c r="I55" s="34" t="str">
        <x:v>API trả Conflict với thông báo xử lý hoàn tiền trước.</x:v>
      </x:c>
      <x:c r="J55" s="34"/>
      <x:c r="K55" s="64"/>
      <x:c r="L55" s="58"/>
      <x:c r="M55" s="73"/>
    </x:row>
    <x:row r="56" ht="40" customHeight="1">
      <x:c r="A56" s="74"/>
      <x:c r="B56" s="75"/>
      <x:c r="C56" s="75"/>
      <x:c r="D56" s="76"/>
      <x:c r="E56" s="76"/>
      <x:c r="F56" s="77" t="n">
        <x:v>3</x:v>
      </x:c>
      <x:c r="G56" s="76" t="str">
        <x:v>3. Tải lại lịch, thanh toán, thông báo.</x:v>
      </x:c>
      <x:c r="H56" s="76" t="str">
        <x:v>bookingId A</x:v>
      </x:c>
      <x:c r="I56" s="76" t="str">
        <x:v>Booking/Payment không đổi; không tạo thông báo hủy mới.</x:v>
      </x:c>
      <x:c r="J56" s="76"/>
      <x:c r="K56" s="78"/>
      <x:c r="L56" s="79"/>
      <x:c r="M56" s="80"/>
    </x:row>
    <x:row r="57" ht="40" customHeight="1">
      <x:c r="A57" s="65" t="n">
        <x:v>19</x:v>
      </x:c>
      <x:c r="B57" s="66" t="str">
        <x:v>ITR10</x:v>
      </x:c>
      <x:c r="C57" s="66" t="str">
        <x:v>ITR10_01</x:v>
      </x:c>
      <x:c r="D57" s="67" t="str">
        <x:v>PayOS báo PAID làm Payment PAID và gửi thông báo đúng khách</x:v>
      </x:c>
      <x:c r="E57" s="67" t="str">
        <x:v>Có lịch BANK_TRANSFER, Payment PENDING; PayOS sandbox/secret cấu hình.</x:v>
      </x:c>
      <x:c r="F57" s="68" t="n">
        <x:v>1</x:v>
      </x:c>
      <x:c r="G57" s="67" t="str">
        <x:v>1. Tạo link PayOS cho Payment của lịch A.</x:v>
      </x:c>
      <x:c r="H57" s="67" t="str">
        <x:v>paymentId A</x:v>
      </x:c>
      <x:c r="I57" s="67" t="str">
        <x:v>Link/QR ứng với số tiền Payment A.</x:v>
      </x:c>
      <x:c r="J57" s="67" t="str">
        <x:v>Liên kết: F4.6, F5.2; PaymentsController.cs. Chỉ trạng thái PayOS xác minh mới là nguồn tin cậy.</x:v>
      </x:c>
      <x:c r="K57" s="69" t="str">
        <x:v>Not Executed</x:v>
      </x:c>
      <x:c r="L57" s="70"/>
      <x:c r="M57" s="71"/>
    </x:row>
    <x:row r="58" ht="40" customHeight="1">
      <x:c r="A58" s="72"/>
      <x:c r="B58" s="60"/>
      <x:c r="C58" s="60"/>
      <x:c r="D58" s="34"/>
      <x:c r="E58" s="34"/>
      <x:c r="F58" s="61" t="n">
        <x:v>2</x:v>
      </x:c>
      <x:c r="G58" s="34" t="str">
        <x:v>2. Thanh toán trên PayOS sandbox và gọi đồng bộ/đợi webhook hợp lệ.</x:v>
      </x:c>
      <x:c r="H58" s="34" t="str">
        <x:v>orderCode A</x:v>
      </x:c>
      <x:c r="I58" s="34" t="str">
        <x:v>Payment A chuyển PAID, có paymentDate.</x:v>
      </x:c>
      <x:c r="J58" s="34"/>
      <x:c r="K58" s="64"/>
      <x:c r="L58" s="58"/>
      <x:c r="M58" s="73"/>
    </x:row>
    <x:row r="59" ht="40" customHeight="1">
      <x:c r="A59" s="74"/>
      <x:c r="B59" s="75"/>
      <x:c r="C59" s="75"/>
      <x:c r="D59" s="76"/>
      <x:c r="E59" s="76"/>
      <x:c r="F59" s="77" t="n">
        <x:v>3</x:v>
      </x:c>
      <x:c r="G59" s="76" t="str">
        <x:v>3. Mở lịch sử thanh toán và thông báo khách A.</x:v>
      </x:c>
      <x:c r="H59" s="76" t="str">
        <x:v>Tài khoản A</x:v>
      </x:c>
      <x:c r="I59" s="76" t="str">
        <x:v>Hiện PAID và một thông báo thanh toán liên kết bookingId A.</x:v>
      </x:c>
      <x:c r="J59" s="76"/>
      <x:c r="K59" s="78"/>
      <x:c r="L59" s="79"/>
      <x:c r="M59" s="80"/>
    </x:row>
    <x:row r="60" ht="40" customHeight="1">
      <x:c r="A60" s="65" t="n">
        <x:v>20</x:v>
      </x:c>
      <x:c r="B60" s="66" t="str">
        <x:v>ITR10</x:v>
      </x:c>
      <x:c r="C60" s="66" t="str">
        <x:v>ITR10_02</x:v>
      </x:c>
      <x:c r="D60" s="67" t="str">
        <x:v>PayOS trả thất bại hoặc webhook lặp không tạo trạng thái/thông báo sai</x:v>
      </x:c>
      <x:c r="E60" s="67" t="str">
        <x:v>Có Payment BANK_TRANSFER PENDING; PayOS sandbox kiểm soát được kết quả.</x:v>
      </x:c>
      <x:c r="F60" s="68" t="n">
        <x:v>1</x:v>
      </x:c>
      <x:c r="G60" s="67" t="str">
        <x:v>1. Hủy/hết hạn thanh toán PayOS rồi đồng bộ.</x:v>
      </x:c>
      <x:c r="H60" s="67" t="str">
        <x:v>Payment A</x:v>
      </x:c>
      <x:c r="I60" s="67" t="str">
        <x:v>Payment A chuyển FAILED, không báo thanh toán thành công.</x:v>
      </x:c>
      <x:c r="J60" s="67" t="str">
        <x:v>Liên kết: F4.6, F5.2; PaymentsController.cs. Có thể chạy hai nhánh bằng hai bộ dữ liệu độc lập.</x:v>
      </x:c>
      <x:c r="K60" s="69" t="str">
        <x:v>Not Executed</x:v>
      </x:c>
      <x:c r="L60" s="70"/>
      <x:c r="M60" s="71"/>
    </x:row>
    <x:row r="61" ht="40" customHeight="1">
      <x:c r="A61" s="72"/>
      <x:c r="B61" s="60"/>
      <x:c r="C61" s="60"/>
      <x:c r="D61" s="34"/>
      <x:c r="E61" s="34"/>
      <x:c r="F61" s="61" t="n">
        <x:v>2</x:v>
      </x:c>
      <x:c r="G61" s="34" t="str">
        <x:v>2. Với Payment B, gửi webhook PAID hợp lệ hai lần.</x:v>
      </x:c>
      <x:c r="H61" s="34" t="str">
        <x:v>Webhook cùng orderCode/số tiền</x:v>
      </x:c>
      <x:c r="I61" s="34" t="str">
        <x:v>Payment B vẫn PAID; chỉ một thông báo thanh toán thành công.</x:v>
      </x:c>
      <x:c r="J61" s="34"/>
      <x:c r="K61" s="64"/>
      <x:c r="L61" s="58"/>
      <x:c r="M61" s="73"/>
    </x:row>
    <x:row r="62" ht="40" customHeight="1">
      <x:c r="A62" s="74"/>
      <x:c r="B62" s="75"/>
      <x:c r="C62" s="75"/>
      <x:c r="D62" s="76"/>
      <x:c r="E62" s="76"/>
      <x:c r="F62" s="77" t="n">
        <x:v>3</x:v>
      </x:c>
      <x:c r="G62" s="76" t="str">
        <x:v>3. Gửi webhook sai chữ ký hoặc sai số tiền cho Payment C.</x:v>
      </x:c>
      <x:c r="H62" s="76" t="str">
        <x:v>Payload thử nghiệm</x:v>
      </x:c>
      <x:c r="I62" s="76" t="str">
        <x:v>Không đánh dấu Payment C là PAID.</x:v>
      </x:c>
      <x:c r="J62" s="76"/>
      <x:c r="K62" s="78"/>
      <x:c r="L62" s="79"/>
      <x:c r="M62" s="80"/>
    </x:row>
    <x:row r="63" ht="32" customHeight="1">
      <x:c r="A63" s="65" t="n">
        <x:v>21</x:v>
      </x:c>
      <x:c r="B63" s="66" t="str">
        <x:v>ITR11</x:v>
      </x:c>
      <x:c r="C63" s="66" t="str">
        <x:v>ITR11_01</x:v>
      </x:c>
      <x:c r="D63" s="67" t="str">
        <x:v>Payment FAILED được retry thành giao dịch PENDING mới cho cùng lịch</x:v>
      </x:c>
      <x:c r="E63" s="67" t="str">
        <x:v>Có lịch chưa CANCELLED/COMPLETED với Payment FAILED; chưa có PENDING/PAID khác.</x:v>
      </x:c>
      <x:c r="F63" s="68" t="n">
        <x:v>1</x:v>
      </x:c>
      <x:c r="G63" s="67" t="str">
        <x:v>1. Mở Payment FAILED của lịch A.</x:v>
      </x:c>
      <x:c r="H63" s="67" t="str">
        <x:v>paymentId cũ</x:v>
      </x:c>
      <x:c r="I63" s="67" t="str">
        <x:v>Ghi bookingId và amount hiện tại.</x:v>
      </x:c>
      <x:c r="J63" s="67" t="str">
        <x:v>Liên kết: F5.3; PaymentsController.cs. Luồng retry bảo toàn bookingId và tổng tiền.</x:v>
      </x:c>
      <x:c r="K63" s="69" t="str">
        <x:v>Not Executed</x:v>
      </x:c>
      <x:c r="L63" s="70"/>
      <x:c r="M63" s="71"/>
    </x:row>
    <x:row r="64" ht="55" customHeight="1">
      <x:c r="A64" s="72"/>
      <x:c r="B64" s="60"/>
      <x:c r="C64" s="60"/>
      <x:c r="D64" s="34"/>
      <x:c r="E64" s="34"/>
      <x:c r="F64" s="61" t="n">
        <x:v>2</x:v>
      </x:c>
      <x:c r="G64" s="34" t="str">
        <x:v>2. Gọi retry giao dịch.</x:v>
      </x:c>
      <x:c r="H64" s="34" t="str">
        <x:v>paymentId cũ</x:v>
      </x:c>
      <x:c r="I64" s="34" t="str">
        <x:v>Tạo paymentId mới, status PENDING, cùng bookingId và amount bằng Booking.totalAmount.</x:v>
      </x:c>
      <x:c r="J64" s="34"/>
      <x:c r="K64" s="64"/>
      <x:c r="L64" s="58"/>
      <x:c r="M64" s="73"/>
    </x:row>
    <x:row r="65" ht="40" customHeight="1">
      <x:c r="A65" s="74"/>
      <x:c r="B65" s="75"/>
      <x:c r="C65" s="75"/>
      <x:c r="D65" s="76"/>
      <x:c r="E65" s="76"/>
      <x:c r="F65" s="77" t="n">
        <x:v>3</x:v>
      </x:c>
      <x:c r="G65" s="76" t="str">
        <x:v>3. Mở lịch sử thanh toán.</x:v>
      </x:c>
      <x:c r="H65" s="76" t="str">
        <x:v>bookingId A</x:v>
      </x:c>
      <x:c r="I65" s="76" t="str">
        <x:v>Có cả giao dịch FAILED cũ và PENDING mới; không tạo lịch hẹn mới.</x:v>
      </x:c>
      <x:c r="J65" s="76"/>
      <x:c r="K65" s="78"/>
      <x:c r="L65" s="79"/>
      <x:c r="M65" s="80"/>
    </x:row>
    <x:row r="66" ht="40" customHeight="1">
      <x:c r="A66" s="65" t="n">
        <x:v>22</x:v>
      </x:c>
      <x:c r="B66" s="66" t="str">
        <x:v>ITR11</x:v>
      </x:c>
      <x:c r="C66" s="66" t="str">
        <x:v>ITR11_02</x:v>
      </x:c>
      <x:c r="D66" s="67" t="str">
        <x:v>Không retry nếu lịch đã hủy hoặc có giao dịch còn PENDING/PAID</x:v>
      </x:c>
      <x:c r="E66" s="67" t="str">
        <x:v>Có các lịch thử nghiệm CANCELLED và lịch có Payment PENDING/PAID.</x:v>
      </x:c>
      <x:c r="F66" s="68" t="n">
        <x:v>1</x:v>
      </x:c>
      <x:c r="G66" s="67" t="str">
        <x:v>1. Gọi retry cho Payment FAILED thuộc lịch CANCELLED.</x:v>
      </x:c>
      <x:c r="H66" s="67" t="str">
        <x:v>paymentId A</x:v>
      </x:c>
      <x:c r="I66" s="67" t="str">
        <x:v>API trả Conflict, không tạo Payment mới.</x:v>
      </x:c>
      <x:c r="J66" s="67" t="str">
        <x:v>Liên kết: F5.3; PaymentsController.cs. Đối chiếu không phát sinh giao dịch mồ côi.</x:v>
      </x:c>
      <x:c r="K66" s="69" t="str">
        <x:v>Not Executed</x:v>
      </x:c>
      <x:c r="L66" s="70"/>
      <x:c r="M66" s="71"/>
    </x:row>
    <x:row r="67" ht="40" customHeight="1">
      <x:c r="A67" s="72"/>
      <x:c r="B67" s="60"/>
      <x:c r="C67" s="60"/>
      <x:c r="D67" s="34"/>
      <x:c r="E67" s="34"/>
      <x:c r="F67" s="61" t="n">
        <x:v>2</x:v>
      </x:c>
      <x:c r="G67" s="34" t="str">
        <x:v>2. Gọi retry khi cùng bookingId đã có Payment PENDING/PAID.</x:v>
      </x:c>
      <x:c r="H67" s="34" t="str">
        <x:v>paymentId B</x:v>
      </x:c>
      <x:c r="I67" s="34" t="str">
        <x:v>API trả Conflict.</x:v>
      </x:c>
      <x:c r="J67" s="34"/>
      <x:c r="K67" s="64"/>
      <x:c r="L67" s="58"/>
      <x:c r="M67" s="73"/>
    </x:row>
    <x:row r="68" ht="40" customHeight="1">
      <x:c r="A68" s="74"/>
      <x:c r="B68" s="75"/>
      <x:c r="C68" s="75"/>
      <x:c r="D68" s="76"/>
      <x:c r="E68" s="76"/>
      <x:c r="F68" s="77" t="n">
        <x:v>3</x:v>
      </x:c>
      <x:c r="G68" s="76" t="str">
        <x:v>3. Mở danh sách Payment của hai lịch.</x:v>
      </x:c>
      <x:c r="H68" s="76" t="str">
        <x:v>bookingId A/B</x:v>
      </x:c>
      <x:c r="I68" s="76" t="str">
        <x:v>Số Payment không tăng sau các yêu cầu bị từ chối.</x:v>
      </x:c>
      <x:c r="J68" s="76"/>
      <x:c r="K68" s="78"/>
      <x:c r="L68" s="79"/>
      <x:c r="M68" s="80"/>
    </x:row>
    <x:row r="69" ht="40" customHeight="1">
      <x:c r="A69" s="65" t="n">
        <x:v>23</x:v>
      </x:c>
      <x:c r="B69" s="66" t="str">
        <x:v>ITR12</x:v>
      </x:c>
      <x:c r="C69" s="66" t="str">
        <x:v>ITR12_01</x:v>
      </x:c>
      <x:c r="D69" s="67" t="str">
        <x:v>Phân công nhân sự ACTIVE cập nhật lịch của VET và thông báo khách</x:v>
      </x:c>
      <x:c r="E69" s="67" t="str">
        <x:v>Có lịch chưa kết thúc; VET A ACTIVE, không xung đột giờ.</x:v>
      </x:c>
      <x:c r="F69" s="68" t="n">
        <x:v>1</x:v>
      </x:c>
      <x:c r="G69" s="67" t="str">
        <x:v>1. STAFF/ADMIN phân công VET A cho lịch B.</x:v>
      </x:c>
      <x:c r="H69" s="67" t="str">
        <x:v>staffId A, bookingId B</x:v>
      </x:c>
      <x:c r="I69" s="67" t="str">
        <x:v>Booking.staffId được cập nhật.</x:v>
      </x:c>
      <x:c r="J69" s="67" t="str">
        <x:v>Liên kết: F9.3, F7; LichHenController.cs, StaffsController.cs. Booking.staffId là cầu nối lịch vận hành và cổng VET.</x:v>
      </x:c>
      <x:c r="K69" s="69" t="str">
        <x:v>Not Executed</x:v>
      </x:c>
      <x:c r="L69" s="70"/>
      <x:c r="M69" s="71"/>
    </x:row>
    <x:row r="70" ht="40" customHeight="1">
      <x:c r="A70" s="72"/>
      <x:c r="B70" s="60"/>
      <x:c r="C70" s="60"/>
      <x:c r="D70" s="34"/>
      <x:c r="E70" s="34"/>
      <x:c r="F70" s="61" t="n">
        <x:v>2</x:v>
      </x:c>
      <x:c r="G70" s="34" t="str">
        <x:v>2. VET A tải lịch của mình.</x:v>
      </x:c>
      <x:c r="H70" s="34" t="str">
        <x:v>Tài khoản VET A</x:v>
      </x:c>
      <x:c r="I70" s="34" t="str">
        <x:v>Lịch B xuất hiện trong danh sách VET A; VET khác không thấy.</x:v>
      </x:c>
      <x:c r="J70" s="34"/>
      <x:c r="K70" s="64"/>
      <x:c r="L70" s="58"/>
      <x:c r="M70" s="73"/>
    </x:row>
    <x:row r="71" ht="32" customHeight="1">
      <x:c r="A71" s="74"/>
      <x:c r="B71" s="75"/>
      <x:c r="C71" s="75"/>
      <x:c r="D71" s="76"/>
      <x:c r="E71" s="76"/>
      <x:c r="F71" s="77" t="n">
        <x:v>3</x:v>
      </x:c>
      <x:c r="G71" s="76" t="str">
        <x:v>3. Khách chủ lịch mở thông báo.</x:v>
      </x:c>
      <x:c r="H71" s="76" t="str">
        <x:v>bookingId B</x:v>
      </x:c>
      <x:c r="I71" s="76" t="str">
        <x:v>Có thông báo đã phân công liên kết lịch B.</x:v>
      </x:c>
      <x:c r="J71" s="76"/>
      <x:c r="K71" s="78"/>
      <x:c r="L71" s="79"/>
      <x:c r="M71" s="80"/>
    </x:row>
    <x:row r="72" ht="40" customHeight="1">
      <x:c r="A72" s="65" t="n">
        <x:v>24</x:v>
      </x:c>
      <x:c r="B72" s="66" t="str">
        <x:v>ITR12</x:v>
      </x:c>
      <x:c r="C72" s="66" t="str">
        <x:v>ITR12_02</x:v>
      </x:c>
      <x:c r="D72" s="67" t="str">
        <x:v>Nhân sự INACTIVE hoặc bận giờ không được phân công</x:v>
      </x:c>
      <x:c r="E72" s="67" t="str">
        <x:v>Có lịch B; một nhân sự INACTIVE và một nhân sự ACTIVE đã có lịch chồng giờ.</x:v>
      </x:c>
      <x:c r="F72" s="68" t="n">
        <x:v>1</x:v>
      </x:c>
      <x:c r="G72" s="67" t="str">
        <x:v>1. Thử phân công nhân sự INACTIVE.</x:v>
      </x:c>
      <x:c r="H72" s="67" t="str">
        <x:v>staffId X</x:v>
      </x:c>
      <x:c r="I72" s="67" t="str">
        <x:v>API từ chối; bookingId B không đổi staffId.</x:v>
      </x:c>
      <x:c r="J72" s="67" t="str">
        <x:v>Liên kết: F9.3, F7; LichHenController.cs, StaffsController.cs. Kiểm tra ValidateStaff và CheckSlot.</x:v>
      </x:c>
      <x:c r="K72" s="69" t="str">
        <x:v>Not Executed</x:v>
      </x:c>
      <x:c r="L72" s="70"/>
      <x:c r="M72" s="71"/>
    </x:row>
    <x:row r="73" ht="40" customHeight="1">
      <x:c r="A73" s="72"/>
      <x:c r="B73" s="60"/>
      <x:c r="C73" s="60"/>
      <x:c r="D73" s="34"/>
      <x:c r="E73" s="34"/>
      <x:c r="F73" s="61" t="n">
        <x:v>2</x:v>
      </x:c>
      <x:c r="G73" s="34" t="str">
        <x:v>2. Thử phân công nhân sự ACTIVE đang bận.</x:v>
      </x:c>
      <x:c r="H73" s="34" t="str">
        <x:v>staffId Y</x:v>
      </x:c>
      <x:c r="I73" s="34" t="str">
        <x:v>API trả Conflict; staffId B không đổi.</x:v>
      </x:c>
      <x:c r="J73" s="34"/>
      <x:c r="K73" s="64"/>
      <x:c r="L73" s="58"/>
      <x:c r="M73" s="73"/>
    </x:row>
    <x:row r="74" ht="40" customHeight="1">
      <x:c r="A74" s="74"/>
      <x:c r="B74" s="75"/>
      <x:c r="C74" s="75"/>
      <x:c r="D74" s="76"/>
      <x:c r="E74" s="76"/>
      <x:c r="F74" s="77" t="n">
        <x:v>3</x:v>
      </x:c>
      <x:c r="G74" s="76" t="str">
        <x:v>3. Kiểm tra thông báo khách.</x:v>
      </x:c>
      <x:c r="H74" s="76" t="str">
        <x:v>bookingId B</x:v>
      </x:c>
      <x:c r="I74" s="76" t="str">
        <x:v>Không có thông báo phân công mới từ các lần thất bại.</x:v>
      </x:c>
      <x:c r="J74" s="76"/>
      <x:c r="K74" s="78"/>
      <x:c r="L74" s="79"/>
      <x:c r="M74" s="80"/>
    </x:row>
    <x:row r="75" ht="40" customHeight="1">
      <x:c r="A75" s="65" t="n">
        <x:v>25</x:v>
      </x:c>
      <x:c r="B75" s="66" t="str">
        <x:v>ITR13</x:v>
      </x:c>
      <x:c r="C75" s="66" t="str">
        <x:v>ITR13_01</x:v>
      </x:c>
      <x:c r="D75" s="67" t="str">
        <x:v>Thanh toán tiền mặt cho phép hoàn thành lịch và đồng bộ thông báo</x:v>
      </x:c>
      <x:c r="E75" s="67" t="str">
        <x:v>Có lịch CASH ở IN_PROGRESS với Payment PENDING; STAFF/ADMIN hợp lệ.</x:v>
      </x:c>
      <x:c r="F75" s="68" t="n">
        <x:v>1</x:v>
      </x:c>
      <x:c r="G75" s="67" t="str">
        <x:v>1. Thử chuyển lịch sang COMPLETED trước thanh toán.</x:v>
      </x:c>
      <x:c r="H75" s="67" t="str">
        <x:v>bookingId A</x:v>
      </x:c>
      <x:c r="I75" s="67" t="str">
        <x:v>API trả Conflict; lịch vẫn IN_PROGRESS.</x:v>
      </x:c>
      <x:c r="J75" s="67" t="str">
        <x:v>Liên kết: F9.5–F9.7, F7; LichHenController.cs, PaymentsController.cs. Có thể chuẩn bị trạng thái qua PENDING→CONFIRMED→IN_PROGRESS.</x:v>
      </x:c>
      <x:c r="K75" s="69" t="str">
        <x:v>Not Executed</x:v>
      </x:c>
      <x:c r="L75" s="70"/>
      <x:c r="M75" s="71"/>
    </x:row>
    <x:row r="76" ht="40" customHeight="1">
      <x:c r="A76" s="72"/>
      <x:c r="B76" s="60"/>
      <x:c r="C76" s="60"/>
      <x:c r="D76" s="34"/>
      <x:c r="E76" s="34"/>
      <x:c r="F76" s="61" t="n">
        <x:v>2</x:v>
      </x:c>
      <x:c r="G76" s="34" t="str">
        <x:v>2. STAFF xác nhận Payment CASH PENDING.</x:v>
      </x:c>
      <x:c r="H76" s="34" t="str">
        <x:v>paymentId A</x:v>
      </x:c>
      <x:c r="I76" s="34" t="str">
        <x:v>Payment chuyển PAID; khách có thông báo thanh toán.</x:v>
      </x:c>
      <x:c r="J76" s="34"/>
      <x:c r="K76" s="64"/>
      <x:c r="L76" s="58"/>
      <x:c r="M76" s="73"/>
    </x:row>
    <x:row r="77" ht="40" customHeight="1">
      <x:c r="A77" s="74"/>
      <x:c r="B77" s="75"/>
      <x:c r="C77" s="75"/>
      <x:c r="D77" s="76"/>
      <x:c r="E77" s="76"/>
      <x:c r="F77" s="77" t="n">
        <x:v>3</x:v>
      </x:c>
      <x:c r="G77" s="76" t="str">
        <x:v>3. Chuyển lịch sang COMPLETED.</x:v>
      </x:c>
      <x:c r="H77" s="76" t="str">
        <x:v>bookingId A</x:v>
      </x:c>
      <x:c r="I77" s="76" t="str">
        <x:v>Booking chuyển COMPLETED; khách có thông báo hoàn thành.</x:v>
      </x:c>
      <x:c r="J77" s="76"/>
      <x:c r="K77" s="78"/>
      <x:c r="L77" s="79"/>
      <x:c r="M77" s="80"/>
    </x:row>
    <x:row r="78" ht="40" customHeight="1">
      <x:c r="A78" s="65" t="n">
        <x:v>26</x:v>
      </x:c>
      <x:c r="B78" s="66" t="str">
        <x:v>ITR13</x:v>
      </x:c>
      <x:c r="C78" s="66" t="str">
        <x:v>ITR13_02</x:v>
      </x:c>
      <x:c r="D78" s="67" t="str">
        <x:v>Giao dịch BANK_TRANSFER không được xác nhận bằng nút tiền mặt</x:v>
      </x:c>
      <x:c r="E78" s="67" t="str">
        <x:v>Có lịch BANK_TRANSFER và Payment PENDING; STAFF đăng nhập.</x:v>
      </x:c>
      <x:c r="F78" s="68" t="n">
        <x:v>1</x:v>
      </x:c>
      <x:c r="G78" s="67" t="str">
        <x:v>1. Ghi trạng thái Payment BANK_TRANSFER.</x:v>
      </x:c>
      <x:c r="H78" s="67" t="str">
        <x:v>paymentId A</x:v>
      </x:c>
      <x:c r="I78" s="67" t="str">
        <x:v>Payment PENDING.</x:v>
      </x:c>
      <x:c r="J78" s="67" t="str">
        <x:v>Liên kết: F9.5–F9.7, F7; LichHenController.cs, PaymentsController.cs. Không dùng xác nhận thủ công thay cho trạng thái PayOS.</x:v>
      </x:c>
      <x:c r="K78" s="69" t="str">
        <x:v>Not Executed</x:v>
      </x:c>
      <x:c r="L78" s="70"/>
      <x:c r="M78" s="71"/>
    </x:row>
    <x:row r="79" ht="40" customHeight="1">
      <x:c r="A79" s="72"/>
      <x:c r="B79" s="60"/>
      <x:c r="C79" s="60"/>
      <x:c r="D79" s="34"/>
      <x:c r="E79" s="34"/>
      <x:c r="F79" s="61" t="n">
        <x:v>2</x:v>
      </x:c>
      <x:c r="G79" s="34" t="str">
        <x:v>2. Gọi xác nhận tiền mặt cho Payment A.</x:v>
      </x:c>
      <x:c r="H79" s="34" t="str">
        <x:v>paymentId A</x:v>
      </x:c>
      <x:c r="I79" s="34" t="str">
        <x:v>API trả BadRequest.</x:v>
      </x:c>
      <x:c r="J79" s="34"/>
      <x:c r="K79" s="64"/>
      <x:c r="L79" s="58"/>
      <x:c r="M79" s="73"/>
    </x:row>
    <x:row r="80" ht="40" customHeight="1">
      <x:c r="A80" s="74"/>
      <x:c r="B80" s="75"/>
      <x:c r="C80" s="75"/>
      <x:c r="D80" s="76"/>
      <x:c r="E80" s="76"/>
      <x:c r="F80" s="77" t="n">
        <x:v>3</x:v>
      </x:c>
      <x:c r="G80" s="76" t="str">
        <x:v>3. Thử hoàn thành lịch liên quan.</x:v>
      </x:c>
      <x:c r="H80" s="76" t="str">
        <x:v>bookingId A</x:v>
      </x:c>
      <x:c r="I80" s="76" t="str">
        <x:v>Payment vẫn PENDING; Booking không được chuyển COMPLETED.</x:v>
      </x:c>
      <x:c r="J80" s="76"/>
      <x:c r="K80" s="78"/>
      <x:c r="L80" s="79"/>
      <x:c r="M80" s="80"/>
    </x:row>
    <x:row r="81" ht="40" customHeight="1">
      <x:c r="A81" s="65" t="n">
        <x:v>27</x:v>
      </x:c>
      <x:c r="B81" s="66" t="str">
        <x:v>ITR14</x:v>
      </x:c>
      <x:c r="C81" s="66" t="str">
        <x:v>ITR14_01</x:v>
      </x:c>
      <x:c r="D81" s="67" t="str">
        <x:v>Bác sĩ tạo hồ sơ khám, cân nặng cập nhật thú cưng và chủ thấy lịch sử</x:v>
      </x:c>
      <x:c r="E81" s="67" t="str">
        <x:v>VET được phân công hoặc có quyền với Pet A; khách A là chủ thú cưng.</x:v>
      </x:c>
      <x:c r="F81" s="68" t="n">
        <x:v>1</x:v>
      </x:c>
      <x:c r="G81" s="67" t="str">
        <x:v>1. VET tạo hồ sơ khám có cân nặng mới.</x:v>
      </x:c>
      <x:c r="H81" s="67" t="str">
        <x:v>Pet A, weight W, chẩn đoán</x:v>
      </x:c>
      <x:c r="I81" s="67" t="str">
        <x:v>MedicalRecord được tạo cho Pet A; Pet.weight = W.</x:v>
      </x:c>
      <x:c r="J81" s="67" t="str">
        <x:v>Liên kết: F6, F10.4; HoSoSucKhoeController.cs. Luồng MedicalRecord ↔ Pet ↔ owner view.</x:v>
      </x:c>
      <x:c r="K81" s="69" t="str">
        <x:v>Not Executed</x:v>
      </x:c>
      <x:c r="L81" s="70"/>
      <x:c r="M81" s="71"/>
    </x:row>
    <x:row r="82" ht="40" customHeight="1">
      <x:c r="A82" s="72"/>
      <x:c r="B82" s="60"/>
      <x:c r="C82" s="60"/>
      <x:c r="D82" s="34"/>
      <x:c r="E82" s="34"/>
      <x:c r="F82" s="61" t="n">
        <x:v>2</x:v>
      </x:c>
      <x:c r="G82" s="34" t="str">
        <x:v>2. Chủ A mở hồ sơ sức khỏe của Pet A.</x:v>
      </x:c>
      <x:c r="H82" s="34" t="str">
        <x:v>Tài khoản A</x:v>
      </x:c>
      <x:c r="I82" s="34" t="str">
        <x:v>Thấy hồ sơ vừa tạo và cân nặng W.</x:v>
      </x:c>
      <x:c r="J82" s="34"/>
      <x:c r="K82" s="64"/>
      <x:c r="L82" s="58"/>
      <x:c r="M82" s="73"/>
    </x:row>
    <x:row r="83" ht="32" customHeight="1">
      <x:c r="A83" s="74"/>
      <x:c r="B83" s="75"/>
      <x:c r="C83" s="75"/>
      <x:c r="D83" s="76"/>
      <x:c r="E83" s="76"/>
      <x:c r="F83" s="77" t="n">
        <x:v>3</x:v>
      </x:c>
      <x:c r="G83" s="76" t="str">
        <x:v>3. Khách B thử đọc hồ sơ của Pet A.</x:v>
      </x:c>
      <x:c r="H83" s="76" t="str">
        <x:v>Tài khoản B</x:v>
      </x:c>
      <x:c r="I83" s="76" t="str">
        <x:v>API không trả hồ sơ của A.</x:v>
      </x:c>
      <x:c r="J83" s="76"/>
      <x:c r="K83" s="78"/>
      <x:c r="L83" s="79"/>
      <x:c r="M83" s="80"/>
    </x:row>
    <x:row r="84" ht="40" customHeight="1">
      <x:c r="A84" s="65" t="n">
        <x:v>28</x:v>
      </x:c>
      <x:c r="B84" s="66" t="str">
        <x:v>ITR14</x:v>
      </x:c>
      <x:c r="C84" s="66" t="str">
        <x:v>ITR14_02</x:v>
      </x:c>
      <x:c r="D84" s="67" t="str">
        <x:v>Sửa hồ sơ khám cập nhật Pet.weight và lưu phiên bản chỉnh sửa</x:v>
      </x:c>
      <x:c r="E84" s="67" t="str">
        <x:v>Có hồ sơ khám của Pet A; VET có quyền sửa, lý do chỉnh sửa hợp lệ.</x:v>
      </x:c>
      <x:c r="F84" s="68" t="n">
        <x:v>1</x:v>
      </x:c>
      <x:c r="G84" s="67" t="str">
        <x:v>1. VET sửa cân nặng và ghi lý do.</x:v>
      </x:c>
      <x:c r="H84" s="67" t="str">
        <x:v>recordId A, weight W2</x:v>
      </x:c>
      <x:c r="I84" s="67" t="str">
        <x:v>MedicalRecord lưu weight W2; Pet.weight cập nhật W2.</x:v>
      </x:c>
      <x:c r="J84" s="67" t="str">
        <x:v>Liên kết: F6, F10.4; HoSoSucKhoeController.cs. Hồ sơ có revisions theo API.</x:v>
      </x:c>
      <x:c r="K84" s="69" t="str">
        <x:v>Not Executed</x:v>
      </x:c>
      <x:c r="L84" s="70"/>
      <x:c r="M84" s="71"/>
    </x:row>
    <x:row r="85" ht="32" customHeight="1">
      <x:c r="A85" s="72"/>
      <x:c r="B85" s="60"/>
      <x:c r="C85" s="60"/>
      <x:c r="D85" s="34"/>
      <x:c r="E85" s="34"/>
      <x:c r="F85" s="61" t="n">
        <x:v>2</x:v>
      </x:c>
      <x:c r="G85" s="34" t="str">
        <x:v>2. Chủ A mở hồ sơ sức khỏe.</x:v>
      </x:c>
      <x:c r="H85" s="34" t="str">
        <x:v>Pet A</x:v>
      </x:c>
      <x:c r="I85" s="34" t="str">
        <x:v>Hiển thị giá trị mới W2.</x:v>
      </x:c>
      <x:c r="J85" s="34"/>
      <x:c r="K85" s="64"/>
      <x:c r="L85" s="58"/>
      <x:c r="M85" s="73"/>
    </x:row>
    <x:row r="86" ht="40" customHeight="1">
      <x:c r="A86" s="74"/>
      <x:c r="B86" s="75"/>
      <x:c r="C86" s="75"/>
      <x:c r="D86" s="76"/>
      <x:c r="E86" s="76"/>
      <x:c r="F86" s="77" t="n">
        <x:v>3</x:v>
      </x:c>
      <x:c r="G86" s="76" t="str">
        <x:v>3. Mở lịch sử chỉnh sửa hồ sơ.</x:v>
      </x:c>
      <x:c r="H86" s="76" t="str">
        <x:v>recordId A</x:v>
      </x:c>
      <x:c r="I86" s="76" t="str">
        <x:v>Có revision phản ánh thay đổi từ giá trị trước đó.</x:v>
      </x:c>
      <x:c r="J86" s="76"/>
      <x:c r="K86" s="78"/>
      <x:c r="L86" s="79"/>
      <x:c r="M86" s="80"/>
    </x:row>
    <x:row r="87" ht="40" customHeight="1">
      <x:c r="A87" s="65" t="n">
        <x:v>29</x:v>
      </x:c>
      <x:c r="B87" s="66" t="str">
        <x:v>ITR15</x:v>
      </x:c>
      <x:c r="C87" s="66" t="str">
        <x:v>ITR15_01</x:v>
      </x:c>
      <x:c r="D87" s="67" t="str">
        <x:v>Lịch tiêm đến hạn tạo thông báo đúng chủ thú cưng</x:v>
      </x:c>
      <x:c r="E87" s="67" t="str">
        <x:v>Có Pet A chưa archived; VET có quyền tạo lịch tiêm; background service hoạt động.</x:v>
      </x:c>
      <x:c r="F87" s="68" t="n">
        <x:v>1</x:v>
      </x:c>
      <x:c r="G87" s="67" t="str">
        <x:v>1. VET tạo Vaccination cho Pet A, nextDate trong 7 ngày.</x:v>
      </x:c>
      <x:c r="H87" s="67" t="str">
        <x:v>Pet A, vaccine V, nextDate D</x:v>
      </x:c>
      <x:c r="I87" s="67" t="str">
        <x:v>Bản ghi tiêm lưu đúng petId và nextDate.</x:v>
      </x:c>
      <x:c r="J87" s="67" t="str">
        <x:v>Liên kết: F7, F10.6; HoSoSucKhoeController.cs, NhacLichTuDong.cs. Nhắc lịch xét nextDate từ hôm nay đến 7 ngày tới; chạy theo giờ.</x:v>
      </x:c>
      <x:c r="K87" s="69" t="str">
        <x:v>Not Executed</x:v>
      </x:c>
      <x:c r="L87" s="70"/>
      <x:c r="M87" s="71"/>
    </x:row>
    <x:row r="88" ht="40" customHeight="1">
      <x:c r="A88" s="72"/>
      <x:c r="B88" s="60"/>
      <x:c r="C88" s="60"/>
      <x:c r="D88" s="34"/>
      <x:c r="E88" s="34"/>
      <x:c r="F88" s="61" t="n">
        <x:v>2</x:v>
      </x:c>
      <x:c r="G88" s="34" t="str">
        <x:v>2. Chờ tác vụ nhắc lịch chạy hoặc kích hoạt trong môi trường test.</x:v>
      </x:c>
      <x:c r="H88" s="34" t="str">
        <x:v>D trong 7 ngày</x:v>
      </x:c>
      <x:c r="I88" s="34" t="str">
        <x:v>Tạo thông báo nhắc tiêm liên kết vaccinationId.</x:v>
      </x:c>
      <x:c r="J88" s="34"/>
      <x:c r="K88" s="64"/>
      <x:c r="L88" s="58"/>
      <x:c r="M88" s="73"/>
    </x:row>
    <x:row r="89" ht="40" customHeight="1">
      <x:c r="A89" s="74"/>
      <x:c r="B89" s="75"/>
      <x:c r="C89" s="75"/>
      <x:c r="D89" s="76"/>
      <x:c r="E89" s="76"/>
      <x:c r="F89" s="77" t="n">
        <x:v>3</x:v>
      </x:c>
      <x:c r="G89" s="76" t="str">
        <x:v>3. Khách A/B mở thông báo.</x:v>
      </x:c>
      <x:c r="H89" s="76" t="str">
        <x:v>Tài khoản chủ A và B</x:v>
      </x:c>
      <x:c r="I89" s="76" t="str">
        <x:v>Chỉ A thấy thông báo có tên Pet A, vaccine V, ngày D.</x:v>
      </x:c>
      <x:c r="J89" s="76"/>
      <x:c r="K89" s="78"/>
      <x:c r="L89" s="79"/>
      <x:c r="M89" s="80"/>
    </x:row>
    <x:row r="90" ht="40" customHeight="1">
      <x:c r="A90" s="65" t="n">
        <x:v>30</x:v>
      </x:c>
      <x:c r="B90" s="66" t="str">
        <x:v>ITR15</x:v>
      </x:c>
      <x:c r="C90" s="66" t="str">
        <x:v>ITR15_02</x:v>
      </x:c>
      <x:c r="D90" s="67" t="str">
        <x:v>Tác vụ chạy lặp không nhân đôi nhắc tiêm; Pet archived không được nhắc</x:v>
      </x:c>
      <x:c r="E90" s="67" t="str">
        <x:v>Có Vaccination A đến hạn và Pet B archived với lịch tiêm đến hạn.</x:v>
      </x:c>
      <x:c r="F90" s="68" t="n">
        <x:v>1</x:v>
      </x:c>
      <x:c r="G90" s="67" t="str">
        <x:v>1. Chạy tác vụ nhắc lịch cho Vaccination A.</x:v>
      </x:c>
      <x:c r="H90" s="67" t="str">
        <x:v>vaccinationId A</x:v>
      </x:c>
      <x:c r="I90" s="67" t="str">
        <x:v>Tạo một thông báo nhắc tiêm.</x:v>
      </x:c>
      <x:c r="J90" s="67" t="str">
        <x:v>Liên kết: F7, F10.6; HoSoSucKhoeController.cs, NhacLichTuDong.cs. Dedupe theo user/title/message/relatedId/relatedType.</x:v>
      </x:c>
      <x:c r="K90" s="69" t="str">
        <x:v>Not Executed</x:v>
      </x:c>
      <x:c r="L90" s="70"/>
      <x:c r="M90" s="71"/>
    </x:row>
    <x:row r="91" ht="40" customHeight="1">
      <x:c r="A91" s="72"/>
      <x:c r="B91" s="60"/>
      <x:c r="C91" s="60"/>
      <x:c r="D91" s="34"/>
      <x:c r="E91" s="34"/>
      <x:c r="F91" s="61" t="n">
        <x:v>2</x:v>
      </x:c>
      <x:c r="G91" s="34" t="str">
        <x:v>2. Chạy lại tác vụ với dữ liệu không đổi.</x:v>
      </x:c>
      <x:c r="H91" s="34" t="str">
        <x:v>vaccinationId A</x:v>
      </x:c>
      <x:c r="I91" s="34" t="str">
        <x:v>Không tạo thông báo nhắc tiêm thứ hai cho A.</x:v>
      </x:c>
      <x:c r="J91" s="34"/>
      <x:c r="K91" s="64"/>
      <x:c r="L91" s="58"/>
      <x:c r="M91" s="73"/>
    </x:row>
    <x:row r="92" ht="40" customHeight="1">
      <x:c r="A92" s="74"/>
      <x:c r="B92" s="75"/>
      <x:c r="C92" s="75"/>
      <x:c r="D92" s="76"/>
      <x:c r="E92" s="76"/>
      <x:c r="F92" s="77" t="n">
        <x:v>3</x:v>
      </x:c>
      <x:c r="G92" s="76" t="str">
        <x:v>3. Kiểm tra thông báo của Pet B archived.</x:v>
      </x:c>
      <x:c r="H92" s="76" t="str">
        <x:v>vaccinationId B</x:v>
      </x:c>
      <x:c r="I92" s="76" t="str">
        <x:v>Không tạo nhắc tiêm cho Pet B archived.</x:v>
      </x:c>
      <x:c r="J92" s="76"/>
      <x:c r="K92" s="78"/>
      <x:c r="L92" s="79"/>
      <x:c r="M92" s="80"/>
    </x:row>
    <x:row r="93" ht="40" customHeight="1">
      <x:c r="A93" s="65" t="n">
        <x:v>31</x:v>
      </x:c>
      <x:c r="B93" s="66" t="str">
        <x:v>ITR16</x:v>
      </x:c>
      <x:c r="C93" s="66" t="str">
        <x:v>ITR16_01</x:v>
      </x:c>
      <x:c r="D93" s="67" t="str">
        <x:v>Tạm ngưng nhân sự đồng bộ tài khoản và loại khỏi danh sách phân công</x:v>
      </x:c>
      <x:c r="E93" s="67" t="str">
        <x:v>Có Staff A ACTIVE gắn UserAccount ACTIVE; ADMIN đăng nhập.</x:v>
      </x:c>
      <x:c r="F93" s="68" t="n">
        <x:v>1</x:v>
      </x:c>
      <x:c r="G93" s="67" t="str">
        <x:v>1. ADMIN chuyển Staff A sang INACTIVE.</x:v>
      </x:c>
      <x:c r="H93" s="67" t="str">
        <x:v>staffId A</x:v>
      </x:c>
      <x:c r="I93" s="67" t="str">
        <x:v>Staff.status INACTIVE, UserAccount.status INACTIVE.</x:v>
      </x:c>
      <x:c r="J93" s="67" t="str">
        <x:v>Liên kết: F11.7–F11.8, F9.3; StaffsController.cs, LichHenController.cs. StaffsController đồng bộ status UserAccount.</x:v>
      </x:c>
      <x:c r="K93" s="69" t="str">
        <x:v>Not Executed</x:v>
      </x:c>
      <x:c r="L93" s="70"/>
      <x:c r="M93" s="71"/>
    </x:row>
    <x:row r="94" ht="40" customHeight="1">
      <x:c r="A94" s="72"/>
      <x:c r="B94" s="60"/>
      <x:c r="C94" s="60"/>
      <x:c r="D94" s="34"/>
      <x:c r="E94" s="34"/>
      <x:c r="F94" s="61" t="n">
        <x:v>2</x:v>
      </x:c>
      <x:c r="G94" s="34" t="str">
        <x:v>2. Mở danh sách nhân sự có thể phân công.</x:v>
      </x:c>
      <x:c r="H94" s="34" t="str">
        <x:v>Ngày/giờ hợp lệ</x:v>
      </x:c>
      <x:c r="I94" s="34" t="str">
        <x:v>Staff A không còn xuất hiện là nhân sự ACTIVE.</x:v>
      </x:c>
      <x:c r="J94" s="34"/>
      <x:c r="K94" s="64"/>
      <x:c r="L94" s="58"/>
      <x:c r="M94" s="73"/>
    </x:row>
    <x:row r="95" ht="40" customHeight="1">
      <x:c r="A95" s="74"/>
      <x:c r="B95" s="75"/>
      <x:c r="C95" s="75"/>
      <x:c r="D95" s="76"/>
      <x:c r="E95" s="76"/>
      <x:c r="F95" s="77" t="n">
        <x:v>3</x:v>
      </x:c>
      <x:c r="G95" s="76" t="str">
        <x:v>3. Thử phân công staffId A và dùng tài khoản A.</x:v>
      </x:c>
      <x:c r="H95" s="76" t="str">
        <x:v>staffId A, token/tài khoản A</x:v>
      </x:c>
      <x:c r="I95" s="76" t="str">
        <x:v>API từ chối phân công; tài khoản A không dùng được cổng nhân sự.</x:v>
      </x:c>
      <x:c r="J95" s="76"/>
      <x:c r="K95" s="78"/>
      <x:c r="L95" s="79"/>
      <x:c r="M95" s="80"/>
    </x:row>
    <x:row r="96" ht="40" customHeight="1">
      <x:c r="A96" s="65" t="n">
        <x:v>32</x:v>
      </x:c>
      <x:c r="B96" s="66" t="str">
        <x:v>ITR16</x:v>
      </x:c>
      <x:c r="C96" s="66" t="str">
        <x:v>ITR16_02</x:v>
      </x:c>
      <x:c r="D96" s="67" t="str">
        <x:v>Đạt ba vi phạm đình chỉ nhân sự và chặn đăng nhập/phân công</x:v>
      </x:c>
      <x:c r="E96" s="67" t="str">
        <x:v>Staff A có 2 vi phạm và đang ACTIVE; ADMIN có quyền ghi vi phạm.</x:v>
      </x:c>
      <x:c r="F96" s="68" t="n">
        <x:v>1</x:v>
      </x:c>
      <x:c r="G96" s="67" t="str">
        <x:v>1. ADMIN ghi vi phạm thứ ba cho Staff A.</x:v>
      </x:c>
      <x:c r="H96" s="67" t="str">
        <x:v>staffId A</x:v>
      </x:c>
      <x:c r="I96" s="67" t="str">
        <x:v>violationCount = 3, Staff.status SUSPENDED.</x:v>
      </x:c>
      <x:c r="J96" s="67" t="str">
        <x:v>Liên kết: F11.7–F11.8, F9.3; StaffsController.cs, LichHenController.cs. Ngưỡng 3 trong StaffsController.</x:v>
      </x:c>
      <x:c r="K96" s="69" t="str">
        <x:v>Not Executed</x:v>
      </x:c>
      <x:c r="L96" s="70"/>
      <x:c r="M96" s="71"/>
    </x:row>
    <x:row r="97" ht="32" customHeight="1">
      <x:c r="A97" s="72"/>
      <x:c r="B97" s="60"/>
      <x:c r="C97" s="60"/>
      <x:c r="D97" s="34"/>
      <x:c r="E97" s="34"/>
      <x:c r="F97" s="61" t="n">
        <x:v>2</x:v>
      </x:c>
      <x:c r="G97" s="34" t="str">
        <x:v>2. Đọc tài khoản liên kết.</x:v>
      </x:c>
      <x:c r="H97" s="34" t="str">
        <x:v>userId của Staff A</x:v>
      </x:c>
      <x:c r="I97" s="34" t="str">
        <x:v>UserAccount.status INACTIVE.</x:v>
      </x:c>
      <x:c r="J97" s="34"/>
      <x:c r="K97" s="64"/>
      <x:c r="L97" s="58"/>
      <x:c r="M97" s="73"/>
    </x:row>
    <x:row r="98" ht="40" customHeight="1">
      <x:c r="A98" s="74"/>
      <x:c r="B98" s="75"/>
      <x:c r="C98" s="75"/>
      <x:c r="D98" s="76"/>
      <x:c r="E98" s="76"/>
      <x:c r="F98" s="77" t="n">
        <x:v>3</x:v>
      </x:c>
      <x:c r="G98" s="76" t="str">
        <x:v>3. Thử đăng nhập và phân công Staff A.</x:v>
      </x:c>
      <x:c r="H98" s="76" t="str">
        <x:v>Tài khoản/staffId A</x:v>
      </x:c>
      <x:c r="I98" s="76" t="str">
        <x:v>Không dùng được cổng nhân sự và không thể phân công.</x:v>
      </x:c>
      <x:c r="J98" s="76"/>
      <x:c r="K98" s="78"/>
      <x:c r="L98" s="79"/>
      <x:c r="M98" s="80"/>
    </x:row>
    <x:row r="99" ht="40" customHeight="1">
      <x:c r="A99" s="65" t="n">
        <x:v>33</x:v>
      </x:c>
      <x:c r="B99" s="66" t="str">
        <x:v>ITR17</x:v>
      </x:c>
      <x:c r="C99" s="66" t="str">
        <x:v>ITR17_01</x:v>
      </x:c>
      <x:c r="D99" s="67" t="str">
        <x:v>Đổi role SQL làm thay đổi cổng và quyền API theo phiên kế tiếp</x:v>
      </x:c>
      <x:c r="E99" s="67" t="str">
        <x:v>Có tài khoản STAFF ACTIVE đã gắn hồ sơ Staff; ADMIN có quyền đổi role.</x:v>
      </x:c>
      <x:c r="F99" s="68" t="n">
        <x:v>1</x:v>
      </x:c>
      <x:c r="G99" s="67" t="str">
        <x:v>1. ADMIN đổi vai trò nhân sự thử nghiệm.</x:v>
      </x:c>
      <x:c r="H99" s="67" t="str">
        <x:v>STAFF→VET, userId có hồ sơ Staff</x:v>
      </x:c>
      <x:c r="I99" s="67" t="str">
        <x:v>UserAccount.role và Staff.role cùng chuyển VET.</x:v>
      </x:c>
      <x:c r="J99" s="67" t="str">
        <x:v>Liên kết: F11.3–F11.4, F12.1–F12.2; PhienNguoiDung.cs và controllers. Quyền lấy từ SQL; API yêu cầu hồ sơ Staff trước khi gán STAFF/VET.</x:v>
      </x:c>
      <x:c r="K99" s="69" t="str">
        <x:v>Not Executed</x:v>
      </x:c>
      <x:c r="L99" s="70"/>
      <x:c r="M99" s="71"/>
    </x:row>
    <x:row r="100" ht="40" customHeight="1">
      <x:c r="A100" s="72"/>
      <x:c r="B100" s="60"/>
      <x:c r="C100" s="60"/>
      <x:c r="D100" s="34"/>
      <x:c r="E100" s="34"/>
      <x:c r="F100" s="61" t="n">
        <x:v>2</x:v>
      </x:c>
      <x:c r="G100" s="34" t="str">
        <x:v>2. Đăng nhập lại tài khoản vừa đổi.</x:v>
      </x:c>
      <x:c r="H100" s="34" t="str">
        <x:v>Firebase UID không đổi</x:v>
      </x:c>
      <x:c r="I100" s="34" t="str">
        <x:v>Web mở cổng VET theo role hiện tại trong SQL.</x:v>
      </x:c>
      <x:c r="J100" s="34"/>
      <x:c r="K100" s="64"/>
      <x:c r="L100" s="58"/>
      <x:c r="M100" s="73"/>
    </x:row>
    <x:row r="101" ht="40" customHeight="1">
      <x:c r="A101" s="74"/>
      <x:c r="B101" s="75"/>
      <x:c r="C101" s="75"/>
      <x:c r="D101" s="76"/>
      <x:c r="E101" s="76"/>
      <x:c r="F101" s="77" t="n">
        <x:v>3</x:v>
      </x:c>
      <x:c r="G101" s="76" t="str">
        <x:v>3. Thử API chỉ dành cho STAFF và API dành cho VET.</x:v>
      </x:c>
      <x:c r="H101" s="76" t="str">
        <x:v>Token cùng UID</x:v>
      </x:c>
      <x:c r="I101" s="76" t="str">
        <x:v>API kiểm tra quyền theo role mới; chức năng ngoài quyền bị từ chối.</x:v>
      </x:c>
      <x:c r="J101" s="76"/>
      <x:c r="K101" s="78"/>
      <x:c r="L101" s="79"/>
      <x:c r="M101" s="80"/>
    </x:row>
    <x:row r="102" ht="40" customHeight="1">
      <x:c r="A102" s="65" t="n">
        <x:v>34</x:v>
      </x:c>
      <x:c r="B102" s="66" t="str">
        <x:v>ITR17</x:v>
      </x:c>
      <x:c r="C102" s="66" t="str">
        <x:v>ITR17_02</x:v>
      </x:c>
      <x:c r="D102" s="67" t="str">
        <x:v>Khách B không đọc được lịch, thanh toán, hồ sơ sức khỏe của khách A</x:v>
      </x:c>
      <x:c r="E102" s="67" t="str">
        <x:v>Có hai khách hàng A/B; A có Pet, Booking, Payment, MedicalRecord.</x:v>
      </x:c>
      <x:c r="F102" s="68" t="n">
        <x:v>1</x:v>
      </x:c>
      <x:c r="G102" s="67" t="str">
        <x:v>1. Dùng token B gọi GET Booking của A.</x:v>
      </x:c>
      <x:c r="H102" s="67" t="str">
        <x:v>bookingId A</x:v>
      </x:c>
      <x:c r="I102" s="67" t="str">
        <x:v>Không trả dữ liệu lịch của A.</x:v>
      </x:c>
      <x:c r="J102" s="67" t="str">
        <x:v>Liên kết: F11.3–F11.4, F12.1–F12.2; PhienNguoiDung.cs và controllers. Thử trực tiếp API để kiểm tra biên dữ liệu, không chỉ ẩn trên UI.</x:v>
      </x:c>
      <x:c r="K102" s="69" t="str">
        <x:v>Not Executed</x:v>
      </x:c>
      <x:c r="L102" s="70"/>
      <x:c r="M102" s="71"/>
    </x:row>
    <x:row r="103" ht="40" customHeight="1">
      <x:c r="A103" s="72"/>
      <x:c r="B103" s="60"/>
      <x:c r="C103" s="60"/>
      <x:c r="D103" s="34"/>
      <x:c r="E103" s="34"/>
      <x:c r="F103" s="61" t="n">
        <x:v>2</x:v>
      </x:c>
      <x:c r="G103" s="34" t="str">
        <x:v>2. Dùng token B gọi Payment của Booking A.</x:v>
      </x:c>
      <x:c r="H103" s="34" t="str">
        <x:v>paymentId/bookingId A</x:v>
      </x:c>
      <x:c r="I103" s="34" t="str">
        <x:v>Không trả dữ liệu thanh toán của A.</x:v>
      </x:c>
      <x:c r="J103" s="34"/>
      <x:c r="K103" s="64"/>
      <x:c r="L103" s="58"/>
      <x:c r="M103" s="73"/>
    </x:row>
    <x:row r="104" ht="40" customHeight="1">
      <x:c r="A104" s="74"/>
      <x:c r="B104" s="75"/>
      <x:c r="C104" s="75"/>
      <x:c r="D104" s="76"/>
      <x:c r="E104" s="76"/>
      <x:c r="F104" s="77" t="n">
        <x:v>3</x:v>
      </x:c>
      <x:c r="G104" s="76" t="str">
        <x:v>3. Dùng token B gọi MedicalRecord của Pet A.</x:v>
      </x:c>
      <x:c r="H104" s="76" t="str">
        <x:v>petId/recordId A</x:v>
      </x:c>
      <x:c r="I104" s="76" t="str">
        <x:v>Không trả hồ sơ sức khỏe của A.</x:v>
      </x:c>
      <x:c r="J104" s="76"/>
      <x:c r="K104" s="78"/>
      <x:c r="L104" s="79"/>
      <x:c r="M104" s="80"/>
    </x:row>
    <x:row r="105" ht="40" customHeight="1">
      <x:c r="A105" s="65" t="n">
        <x:v>35</x:v>
      </x:c>
      <x:c r="B105" s="66" t="str">
        <x:v>ITR18</x:v>
      </x:c>
      <x:c r="C105" s="66" t="str">
        <x:v>ITR18_01</x:v>
      </x:c>
      <x:c r="D105" s="67" t="str">
        <x:v>Thanh toán PAID phản ánh trong báo cáo, không đếm Payment PENDING</x:v>
      </x:c>
      <x:c r="E105" s="67" t="str">
        <x:v>Có ADMIN và hai lịch trong khoảng báo cáo: một PAID, một PENDING.</x:v>
      </x:c>
      <x:c r="F105" s="68" t="n">
        <x:v>1</x:v>
      </x:c>
      <x:c r="G105" s="67" t="str">
        <x:v>1. Ghi số liệu báo cáo trước xác nhận thanh toán.</x:v>
      </x:c>
      <x:c r="H105" s="67" t="str">
        <x:v>Khoảng ngày D</x:v>
      </x:c>
      <x:c r="I105" s="67" t="str">
        <x:v>Có bookedAmount/paidAmount làm mốc.</x:v>
      </x:c>
      <x:c r="J105" s="67" t="str">
        <x:v>Liên kết: F9.9, F11.14; PaymentsController.cs, BaoCaoController.cs. Báo cáo tính paidAmount theo paymentDate.</x:v>
      </x:c>
      <x:c r="K105" s="69" t="str">
        <x:v>Not Executed</x:v>
      </x:c>
      <x:c r="L105" s="70"/>
      <x:c r="M105" s="71"/>
    </x:row>
    <x:row r="106" ht="40" customHeight="1">
      <x:c r="A106" s="72"/>
      <x:c r="B106" s="60"/>
      <x:c r="C106" s="60"/>
      <x:c r="D106" s="34"/>
      <x:c r="E106" s="34"/>
      <x:c r="F106" s="61" t="n">
        <x:v>2</x:v>
      </x:c>
      <x:c r="G106" s="34" t="str">
        <x:v>2. Xác nhận CASH hoặc đồng bộ PayOS cho một Payment.</x:v>
      </x:c>
      <x:c r="H106" s="34" t="str">
        <x:v>paymentId A</x:v>
      </x:c>
      <x:c r="I106" s="34" t="str">
        <x:v>Payment A chuyển PAID, paymentDate thuộc D.</x:v>
      </x:c>
      <x:c r="J106" s="34"/>
      <x:c r="K106" s="64"/>
      <x:c r="L106" s="58"/>
      <x:c r="M106" s="73"/>
    </x:row>
    <x:row r="107" ht="40" customHeight="1">
      <x:c r="A107" s="74"/>
      <x:c r="B107" s="75"/>
      <x:c r="C107" s="75"/>
      <x:c r="D107" s="76"/>
      <x:c r="E107" s="76"/>
      <x:c r="F107" s="77" t="n">
        <x:v>3</x:v>
      </x:c>
      <x:c r="G107" s="76" t="str">
        <x:v>3. Tải lại báo cáo cùng khoảng ngày.</x:v>
      </x:c>
      <x:c r="H107" s="76" t="str">
        <x:v>D</x:v>
      </x:c>
      <x:c r="I107" s="76" t="str">
        <x:v>paidAmount tăng đúng amount A; Payment PENDING còn lại không cộng vào paidAmount.</x:v>
      </x:c>
      <x:c r="J107" s="76"/>
      <x:c r="K107" s="78"/>
      <x:c r="L107" s="79"/>
      <x:c r="M107" s="80"/>
    </x:row>
    <x:row r="108" ht="40" customHeight="1">
      <x:c r="A108" s="65" t="n">
        <x:v>36</x:v>
      </x:c>
      <x:c r="B108" s="66" t="str">
        <x:v>ITR18</x:v>
      </x:c>
      <x:c r="C108" s="66" t="str">
        <x:v>ITR18_02</x:v>
      </x:c>
      <x:c r="D108" s="67" t="str">
        <x:v>Ghi nhận hoàn tiền cập nhật báo cáo và thông báo, không xóa lịch sử PAID</x:v>
      </x:c>
      <x:c r="E108" s="67" t="str">
        <x:v>Có Payment PAID trong khoảng ngày, ADMIN/STAFF được phép ghi hoàn tiền; khoản hoàn thực tế đã xử lý ngoài hệ thống.</x:v>
      </x:c>
      <x:c r="F108" s="68" t="n">
        <x:v>1</x:v>
      </x:c>
      <x:c r="G108" s="67" t="str">
        <x:v>1. Ghi nhận refund với lý do và mã tham chiếu.</x:v>
      </x:c>
      <x:c r="H108" s="67" t="str">
        <x:v>paymentId A, reason, reference</x:v>
      </x:c>
      <x:c r="I108" s="67" t="str">
        <x:v>Payment chuyển REFUNDED và lưu refundedAt/by.</x:v>
      </x:c>
      <x:c r="J108" s="67" t="str">
        <x:v>Liên kết: F9.9, F11.14; PaymentsController.cs, BaoCaoController.cs. API chỉ ghi nhận hoàn tiền, không tự chuyển tiền qua PayOS/ngân hàng.</x:v>
      </x:c>
      <x:c r="K108" s="69" t="str">
        <x:v>Not Executed</x:v>
      </x:c>
      <x:c r="L108" s="70"/>
      <x:c r="M108" s="71"/>
    </x:row>
    <x:row r="109" ht="40" customHeight="1">
      <x:c r="A109" s="72"/>
      <x:c r="B109" s="60"/>
      <x:c r="C109" s="60"/>
      <x:c r="D109" s="34"/>
      <x:c r="E109" s="34"/>
      <x:c r="F109" s="61" t="n">
        <x:v>2</x:v>
      </x:c>
      <x:c r="G109" s="34" t="str">
        <x:v>2. Mở thông báo khách chủ lịch.</x:v>
      </x:c>
      <x:c r="H109" s="34" t="str">
        <x:v>bookingId A</x:v>
      </x:c>
      <x:c r="I109" s="34" t="str">
        <x:v>Có thông báo ghi nhận hoàn tiền liên kết lịch.</x:v>
      </x:c>
      <x:c r="J109" s="34"/>
      <x:c r="K109" s="64"/>
      <x:c r="L109" s="58"/>
      <x:c r="M109" s="73"/>
    </x:row>
    <x:row r="110" ht="55" customHeight="1">
      <x:c r="A110" s="74"/>
      <x:c r="B110" s="75"/>
      <x:c r="C110" s="75"/>
      <x:c r="D110" s="76"/>
      <x:c r="E110" s="76"/>
      <x:c r="F110" s="77" t="n">
        <x:v>3</x:v>
      </x:c>
      <x:c r="G110" s="76" t="str">
        <x:v>3. Tải báo cáo có ngày hoàn tiền.</x:v>
      </x:c>
      <x:c r="H110" s="76" t="str">
        <x:v>Khoảng ngày D</x:v>
      </x:c>
      <x:c r="I110" s="76" t="str">
        <x:v>refundAmount tăng amount A, netCollected = paidAmount − refundAmount; lịch sử booking vẫn còn.</x:v>
      </x:c>
      <x:c r="J110" s="76"/>
      <x:c r="K110" s="78"/>
      <x:c r="L110" s="79"/>
      <x:c r="M110" s="80"/>
    </x:row>
  </x:sheetData>
  <x:mergeCells>
    <x:mergeCell ref="K1:M1"/>
    <x:mergeCell ref="A3:A5"/>
    <x:mergeCell ref="B3:B5"/>
    <x:mergeCell ref="C3:C5"/>
    <x:mergeCell ref="D3:D5"/>
    <x:mergeCell ref="E3:E5"/>
    <x:mergeCell ref="J3:J5"/>
    <x:mergeCell ref="K3:K5"/>
    <x:mergeCell ref="L3:L5"/>
    <x:mergeCell ref="M3:M5"/>
    <x:mergeCell ref="A6:A8"/>
    <x:mergeCell ref="B6:B8"/>
    <x:mergeCell ref="C6:C8"/>
    <x:mergeCell ref="D6:D8"/>
    <x:mergeCell ref="E6:E8"/>
    <x:mergeCell ref="J6:J8"/>
    <x:mergeCell ref="K6:K8"/>
    <x:mergeCell ref="L6:L8"/>
    <x:mergeCell ref="M6:M8"/>
    <x:mergeCell ref="A9:A11"/>
    <x:mergeCell ref="B9:B11"/>
    <x:mergeCell ref="C9:C11"/>
    <x:mergeCell ref="D9:D11"/>
    <x:mergeCell ref="E9:E11"/>
    <x:mergeCell ref="J9:J11"/>
    <x:mergeCell ref="K9:K11"/>
    <x:mergeCell ref="L9:L11"/>
    <x:mergeCell ref="M9:M11"/>
    <x:mergeCell ref="A12:A14"/>
    <x:mergeCell ref="B12:B14"/>
    <x:mergeCell ref="C12:C14"/>
    <x:mergeCell ref="D12:D14"/>
    <x:mergeCell ref="E12:E14"/>
    <x:mergeCell ref="J12:J14"/>
    <x:mergeCell ref="K12:K14"/>
    <x:mergeCell ref="L12:L14"/>
    <x:mergeCell ref="M12:M14"/>
    <x:mergeCell ref="A15:A17"/>
    <x:mergeCell ref="B15:B17"/>
    <x:mergeCell ref="C15:C17"/>
    <x:mergeCell ref="D15:D17"/>
    <x:mergeCell ref="E15:E17"/>
    <x:mergeCell ref="J15:J17"/>
    <x:mergeCell ref="K15:K17"/>
    <x:mergeCell ref="L15:L17"/>
    <x:mergeCell ref="M15:M17"/>
    <x:mergeCell ref="A18:A20"/>
    <x:mergeCell ref="B18:B20"/>
    <x:mergeCell ref="C18:C20"/>
    <x:mergeCell ref="D18:D20"/>
    <x:mergeCell ref="E18:E20"/>
    <x:mergeCell ref="J18:J20"/>
    <x:mergeCell ref="K18:K20"/>
    <x:mergeCell ref="L18:L20"/>
    <x:mergeCell ref="M18:M20"/>
    <x:mergeCell ref="A21:A23"/>
    <x:mergeCell ref="B21:B23"/>
    <x:mergeCell ref="C21:C23"/>
    <x:mergeCell ref="D21:D23"/>
    <x:mergeCell ref="E21:E23"/>
    <x:mergeCell ref="J21:J23"/>
    <x:mergeCell ref="K21:K23"/>
    <x:mergeCell ref="L21:L23"/>
    <x:mergeCell ref="M21:M23"/>
    <x:mergeCell ref="A24:A26"/>
    <x:mergeCell ref="B24:B26"/>
    <x:mergeCell ref="C24:C26"/>
    <x:mergeCell ref="D24:D26"/>
    <x:mergeCell ref="E24:E26"/>
    <x:mergeCell ref="J24:J26"/>
    <x:mergeCell ref="K24:K26"/>
    <x:mergeCell ref="L24:L26"/>
    <x:mergeCell ref="M24:M26"/>
    <x:mergeCell ref="A27:A29"/>
    <x:mergeCell ref="B27:B29"/>
    <x:mergeCell ref="C27:C29"/>
    <x:mergeCell ref="D27:D29"/>
    <x:mergeCell ref="E27:E29"/>
    <x:mergeCell ref="J27:J29"/>
    <x:mergeCell ref="K27:K29"/>
    <x:mergeCell ref="L27:L29"/>
    <x:mergeCell ref="M27:M29"/>
    <x:mergeCell ref="A30:A32"/>
    <x:mergeCell ref="B30:B32"/>
    <x:mergeCell ref="C30:C32"/>
    <x:mergeCell ref="D30:D32"/>
    <x:mergeCell ref="E30:E32"/>
    <x:mergeCell ref="J30:J32"/>
    <x:mergeCell ref="K30:K32"/>
    <x:mergeCell ref="L30:L32"/>
    <x:mergeCell ref="M30:M32"/>
    <x:mergeCell ref="A33:A35"/>
    <x:mergeCell ref="B33:B35"/>
    <x:mergeCell ref="C33:C35"/>
    <x:mergeCell ref="D33:D35"/>
    <x:mergeCell ref="E33:E35"/>
    <x:mergeCell ref="J33:J35"/>
    <x:mergeCell ref="K33:K35"/>
    <x:mergeCell ref="L33:L35"/>
    <x:mergeCell ref="M33:M35"/>
    <x:mergeCell ref="A36:A38"/>
    <x:mergeCell ref="B36:B38"/>
    <x:mergeCell ref="C36:C38"/>
    <x:mergeCell ref="D36:D38"/>
    <x:mergeCell ref="E36:E38"/>
    <x:mergeCell ref="J36:J38"/>
    <x:mergeCell ref="K36:K38"/>
    <x:mergeCell ref="L36:L38"/>
    <x:mergeCell ref="M36:M38"/>
    <x:mergeCell ref="A39:A41"/>
    <x:mergeCell ref="B39:B41"/>
    <x:mergeCell ref="C39:C41"/>
    <x:mergeCell ref="D39:D41"/>
    <x:mergeCell ref="E39:E41"/>
    <x:mergeCell ref="J39:J41"/>
    <x:mergeCell ref="K39:K41"/>
    <x:mergeCell ref="L39:L41"/>
    <x:mergeCell ref="M39:M41"/>
    <x:mergeCell ref="A42:A44"/>
    <x:mergeCell ref="B42:B44"/>
    <x:mergeCell ref="C42:C44"/>
    <x:mergeCell ref="D42:D44"/>
    <x:mergeCell ref="E42:E44"/>
    <x:mergeCell ref="J42:J44"/>
    <x:mergeCell ref="K42:K44"/>
    <x:mergeCell ref="L42:L44"/>
    <x:mergeCell ref="M42:M44"/>
    <x:mergeCell ref="A45:A47"/>
    <x:mergeCell ref="B45:B47"/>
    <x:mergeCell ref="C45:C47"/>
    <x:mergeCell ref="D45:D47"/>
    <x:mergeCell ref="E45:E47"/>
    <x:mergeCell ref="J45:J47"/>
    <x:mergeCell ref="K45:K47"/>
    <x:mergeCell ref="L45:L47"/>
    <x:mergeCell ref="M45:M47"/>
    <x:mergeCell ref="A48:A50"/>
    <x:mergeCell ref="B48:B50"/>
    <x:mergeCell ref="C48:C50"/>
    <x:mergeCell ref="D48:D50"/>
    <x:mergeCell ref="E48:E50"/>
    <x:mergeCell ref="J48:J50"/>
    <x:mergeCell ref="K48:K50"/>
    <x:mergeCell ref="L48:L50"/>
    <x:mergeCell ref="M48:M50"/>
    <x:mergeCell ref="A51:A53"/>
    <x:mergeCell ref="B51:B53"/>
    <x:mergeCell ref="C51:C53"/>
    <x:mergeCell ref="D51:D53"/>
    <x:mergeCell ref="E51:E53"/>
    <x:mergeCell ref="J51:J53"/>
    <x:mergeCell ref="K51:K53"/>
    <x:mergeCell ref="L51:L53"/>
    <x:mergeCell ref="M51:M53"/>
    <x:mergeCell ref="A54:A56"/>
    <x:mergeCell ref="B54:B56"/>
    <x:mergeCell ref="C54:C56"/>
    <x:mergeCell ref="D54:D56"/>
    <x:mergeCell ref="E54:E56"/>
    <x:mergeCell ref="J54:J56"/>
    <x:mergeCell ref="K54:K56"/>
    <x:mergeCell ref="L54:L56"/>
    <x:mergeCell ref="M54:M56"/>
    <x:mergeCell ref="A57:A59"/>
    <x:mergeCell ref="B57:B59"/>
    <x:mergeCell ref="C57:C59"/>
    <x:mergeCell ref="D57:D59"/>
    <x:mergeCell ref="E57:E59"/>
    <x:mergeCell ref="J57:J59"/>
    <x:mergeCell ref="K57:K59"/>
    <x:mergeCell ref="L57:L59"/>
    <x:mergeCell ref="M57:M59"/>
    <x:mergeCell ref="A60:A62"/>
    <x:mergeCell ref="B60:B62"/>
    <x:mergeCell ref="C60:C62"/>
    <x:mergeCell ref="D60:D62"/>
    <x:mergeCell ref="E60:E62"/>
    <x:mergeCell ref="J60:J62"/>
    <x:mergeCell ref="K60:K62"/>
    <x:mergeCell ref="L60:L62"/>
    <x:mergeCell ref="M60:M62"/>
    <x:mergeCell ref="A63:A65"/>
    <x:mergeCell ref="B63:B65"/>
    <x:mergeCell ref="C63:C65"/>
    <x:mergeCell ref="D63:D65"/>
    <x:mergeCell ref="E63:E65"/>
    <x:mergeCell ref="J63:J65"/>
    <x:mergeCell ref="K63:K65"/>
    <x:mergeCell ref="L63:L65"/>
    <x:mergeCell ref="M63:M65"/>
    <x:mergeCell ref="A66:A68"/>
    <x:mergeCell ref="B66:B68"/>
    <x:mergeCell ref="C66:C68"/>
    <x:mergeCell ref="D66:D68"/>
    <x:mergeCell ref="E66:E68"/>
    <x:mergeCell ref="J66:J68"/>
    <x:mergeCell ref="K66:K68"/>
    <x:mergeCell ref="L66:L68"/>
    <x:mergeCell ref="M66:M68"/>
    <x:mergeCell ref="A69:A71"/>
    <x:mergeCell ref="B69:B71"/>
    <x:mergeCell ref="C69:C71"/>
    <x:mergeCell ref="D69:D71"/>
    <x:mergeCell ref="E69:E71"/>
    <x:mergeCell ref="J69:J71"/>
    <x:mergeCell ref="K69:K71"/>
    <x:mergeCell ref="L69:L71"/>
    <x:mergeCell ref="M69:M71"/>
    <x:mergeCell ref="A72:A74"/>
    <x:mergeCell ref="B72:B74"/>
    <x:mergeCell ref="C72:C74"/>
    <x:mergeCell ref="D72:D74"/>
    <x:mergeCell ref="E72:E74"/>
    <x:mergeCell ref="J72:J74"/>
    <x:mergeCell ref="K72:K74"/>
    <x:mergeCell ref="L72:L74"/>
    <x:mergeCell ref="M72:M74"/>
    <x:mergeCell ref="A75:A77"/>
    <x:mergeCell ref="B75:B77"/>
    <x:mergeCell ref="C75:C77"/>
    <x:mergeCell ref="D75:D77"/>
    <x:mergeCell ref="E75:E77"/>
    <x:mergeCell ref="J75:J77"/>
    <x:mergeCell ref="K75:K77"/>
    <x:mergeCell ref="L75:L77"/>
    <x:mergeCell ref="M75:M77"/>
    <x:mergeCell ref="A78:A80"/>
    <x:mergeCell ref="B78:B80"/>
    <x:mergeCell ref="C78:C80"/>
    <x:mergeCell ref="D78:D80"/>
    <x:mergeCell ref="E78:E80"/>
    <x:mergeCell ref="J78:J80"/>
    <x:mergeCell ref="K78:K80"/>
    <x:mergeCell ref="L78:L80"/>
    <x:mergeCell ref="M78:M80"/>
    <x:mergeCell ref="A81:A83"/>
    <x:mergeCell ref="B81:B83"/>
    <x:mergeCell ref="C81:C83"/>
    <x:mergeCell ref="D81:D83"/>
    <x:mergeCell ref="E81:E83"/>
    <x:mergeCell ref="J81:J83"/>
    <x:mergeCell ref="K81:K83"/>
    <x:mergeCell ref="L81:L83"/>
    <x:mergeCell ref="M81:M83"/>
    <x:mergeCell ref="A84:A86"/>
    <x:mergeCell ref="B84:B86"/>
    <x:mergeCell ref="C84:C86"/>
    <x:mergeCell ref="D84:D86"/>
    <x:mergeCell ref="E84:E86"/>
    <x:mergeCell ref="J84:J86"/>
    <x:mergeCell ref="K84:K86"/>
    <x:mergeCell ref="L84:L86"/>
    <x:mergeCell ref="M84:M86"/>
    <x:mergeCell ref="A87:A89"/>
    <x:mergeCell ref="B87:B89"/>
    <x:mergeCell ref="C87:C89"/>
    <x:mergeCell ref="D87:D89"/>
    <x:mergeCell ref="E87:E89"/>
    <x:mergeCell ref="J87:J89"/>
    <x:mergeCell ref="K87:K89"/>
    <x:mergeCell ref="L87:L89"/>
    <x:mergeCell ref="M87:M89"/>
    <x:mergeCell ref="A90:A92"/>
    <x:mergeCell ref="B90:B92"/>
    <x:mergeCell ref="C90:C92"/>
    <x:mergeCell ref="D90:D92"/>
    <x:mergeCell ref="E90:E92"/>
    <x:mergeCell ref="J90:J92"/>
    <x:mergeCell ref="K90:K92"/>
    <x:mergeCell ref="L90:L92"/>
    <x:mergeCell ref="M90:M92"/>
    <x:mergeCell ref="A93:A95"/>
    <x:mergeCell ref="B93:B95"/>
    <x:mergeCell ref="C93:C95"/>
    <x:mergeCell ref="D93:D95"/>
    <x:mergeCell ref="E93:E95"/>
    <x:mergeCell ref="J93:J95"/>
    <x:mergeCell ref="K93:K95"/>
    <x:mergeCell ref="L93:L95"/>
    <x:mergeCell ref="M93:M95"/>
    <x:mergeCell ref="A96:A98"/>
    <x:mergeCell ref="B96:B98"/>
    <x:mergeCell ref="C96:C98"/>
    <x:mergeCell ref="D96:D98"/>
    <x:mergeCell ref="E96:E98"/>
    <x:mergeCell ref="J96:J98"/>
    <x:mergeCell ref="K96:K98"/>
    <x:mergeCell ref="L96:L98"/>
    <x:mergeCell ref="M96:M98"/>
    <x:mergeCell ref="A99:A101"/>
    <x:mergeCell ref="B99:B101"/>
    <x:mergeCell ref="C99:C101"/>
    <x:mergeCell ref="D99:D101"/>
    <x:mergeCell ref="E99:E101"/>
    <x:mergeCell ref="J99:J101"/>
    <x:mergeCell ref="K99:K101"/>
    <x:mergeCell ref="L99:L101"/>
    <x:mergeCell ref="M99:M101"/>
    <x:mergeCell ref="A102:A104"/>
    <x:mergeCell ref="B102:B104"/>
    <x:mergeCell ref="C102:C104"/>
    <x:mergeCell ref="D102:D104"/>
    <x:mergeCell ref="E102:E104"/>
    <x:mergeCell ref="J102:J104"/>
    <x:mergeCell ref="K102:K104"/>
    <x:mergeCell ref="L102:L104"/>
    <x:mergeCell ref="M102:M104"/>
    <x:mergeCell ref="A105:A107"/>
    <x:mergeCell ref="B105:B107"/>
    <x:mergeCell ref="C105:C107"/>
    <x:mergeCell ref="D105:D107"/>
    <x:mergeCell ref="E105:E107"/>
    <x:mergeCell ref="J105:J107"/>
    <x:mergeCell ref="K105:K107"/>
    <x:mergeCell ref="L105:L107"/>
    <x:mergeCell ref="M105:M107"/>
    <x:mergeCell ref="A108:A110"/>
    <x:mergeCell ref="B108:B110"/>
    <x:mergeCell ref="C108:C110"/>
    <x:mergeCell ref="D108:D110"/>
    <x:mergeCell ref="E108:E110"/>
    <x:mergeCell ref="J108:J110"/>
    <x:mergeCell ref="K108:K110"/>
    <x:mergeCell ref="L108:L110"/>
    <x:mergeCell ref="M108:M1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" hidden="0" customWidth="1"/>
    <x:col min="3" max="3" width="4" hidden="0" customWidth="1"/>
    <x:col min="4" max="4" width="18" hidden="0" customWidth="1"/>
    <x:col min="5" max="5" width="4" hidden="0" customWidth="1"/>
    <x:col min="6" max="6" width="4" hidden="0" customWidth="1"/>
    <x:col min="7" max="7" width="17" hidden="0" customWidth="1"/>
  </x:cols>
  <x:sheetData>
    <x:row r="1">
      <x:c r="A1" s="81" t="str">
        <x:v>Priority</x:v>
      </x:c>
      <x:c r="B1" s="81" t="str"/>
      <x:c r="C1" s="81" t="str"/>
      <x:c r="D1" s="81" t="str">
        <x:v>Status</x:v>
      </x:c>
      <x:c r="E1" s="81" t="str"/>
      <x:c r="F1" s="81" t="str"/>
      <x:c r="G1" s="81" t="str">
        <x:v>Type</x:v>
      </x:c>
    </x:row>
    <x:row r="2">
      <x:c r="A2" s="16" t="str">
        <x:v>High</x:v>
      </x:c>
      <x:c r="B2" s="16"/>
      <x:c r="C2" s="16"/>
      <x:c r="D2" s="16" t="str">
        <x:v>Not Executed</x:v>
      </x:c>
      <x:c r="E2" s="16"/>
      <x:c r="F2" s="16"/>
      <x:c r="G2" s="16" t="str">
        <x:v>LooknFeel</x:v>
      </x:c>
    </x:row>
    <x:row r="3">
      <x:c r="A3" s="16" t="str">
        <x:v>Medium</x:v>
      </x:c>
      <x:c r="B3" s="16"/>
      <x:c r="C3" s="16"/>
      <x:c r="D3" s="16" t="str">
        <x:v>Passed</x:v>
      </x:c>
      <x:c r="E3" s="16"/>
      <x:c r="F3" s="16"/>
      <x:c r="G3" s="16" t="str">
        <x:v>Positive</x:v>
      </x:c>
    </x:row>
    <x:row r="4">
      <x:c r="A4" s="16" t="str">
        <x:v>Low</x:v>
      </x:c>
      <x:c r="B4" s="16"/>
      <x:c r="C4" s="16"/>
      <x:c r="D4" s="16" t="str">
        <x:v>Failed</x:v>
      </x:c>
      <x:c r="E4" s="16"/>
      <x:c r="F4" s="16"/>
      <x:c r="G4" s="16" t="str">
        <x:v>Negative</x:v>
      </x:c>
    </x:row>
    <x:row r="5">
      <x:c r="A5" s="16"/>
      <x:c r="B5" s="16"/>
      <x:c r="C5" s="16"/>
      <x:c r="D5" s="16" t="str">
        <x:v>Blocked</x:v>
      </x:c>
      <x:c r="E5" s="16"/>
      <x:c r="F5" s="16"/>
      <x:c r="G5" s="16" t="str">
        <x:v>Boundary</x:v>
      </x:c>
    </x:row>
  </x:sheetData>
  <x:pageMargins left="0.7" right="0.7" top="0.75" bottom="0.75" header="0.3" footer="0.3"/>
</x:worksheet>
</file>